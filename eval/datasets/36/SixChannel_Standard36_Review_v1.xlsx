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5b29c6f50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总览" sheetId="1" r:id="R7ea2ed56feb647db"/>
    <x:sheet xmlns:r="http://schemas.openxmlformats.org/officeDocument/2006/relationships" name="36例标准测试集" sheetId="2" r:id="R06631b69cd544b4a"/>
    <x:sheet xmlns:r="http://schemas.openxmlformats.org/officeDocument/2006/relationships" name="原48例逐例审核" sheetId="3" r:id="Re03e4db94cea4452"/>
    <x:sheet xmlns:r="http://schemas.openxmlformats.org/officeDocument/2006/relationships" name="保留与优化对照" sheetId="4" r:id="Rd9000b1d307545f2"/>
    <x:sheet xmlns:r="http://schemas.openxmlformats.org/officeDocument/2006/relationships" name="重点鉴别对照" sheetId="5" r:id="R7ba328ae1e4c4ef6"/>
    <x:sheet xmlns:r="http://schemas.openxmlformats.org/officeDocument/2006/relationships" name="审核标准及边界" sheetId="6" r:id="Rec99ffeb8617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1abf3399b4d79" /><Relationship Type="http://schemas.openxmlformats.org/officeDocument/2006/relationships/theme" Target="/xl/theme/theme1.xml" Id="Rc8b5fa17bfc1417f" /><Relationship Type="http://schemas.openxmlformats.org/officeDocument/2006/relationships/sharedStrings" Target="/xl/sharedStrings.xml" Id="R9a21855ec1e54ee5" /><Relationship Type="http://schemas.openxmlformats.org/officeDocument/2006/relationships/worksheet" Target="/xl/worksheets/sheet1.xml" Id="R7ea2ed56feb647db" /><Relationship Type="http://schemas.openxmlformats.org/officeDocument/2006/relationships/worksheet" Target="/xl/worksheets/sheet2.xml" Id="R06631b69cd544b4a" /><Relationship Type="http://schemas.openxmlformats.org/officeDocument/2006/relationships/worksheet" Target="/xl/worksheets/sheet3.xml" Id="Re03e4db94cea4452" /><Relationship Type="http://schemas.openxmlformats.org/officeDocument/2006/relationships/worksheet" Target="/xl/worksheets/sheet4.xml" Id="Rd9000b1d307545f2" /><Relationship Type="http://schemas.openxmlformats.org/officeDocument/2006/relationships/worksheet" Target="/xl/worksheets/sheet5.xml" Id="R7ba328ae1e4c4ef6" /><Relationship Type="http://schemas.openxmlformats.org/officeDocument/2006/relationships/worksheet" Target="/xl/worksheets/sheet6.xml" Id="Rec99ffeb861745aa" /></Relationships>
</file>

<file path=xl/tables/table1.xml><?xml version="1.0" encoding="utf-8"?>
<x:table xmlns:x="http://schemas.openxmlformats.org/spreadsheetml/2006/main" id="1" name="Standard36Cases" displayName="Standard36Cases" ref="A1:N37" headerRowCount="1" totalsRowCount="0" totalsRowShown="0">
  <x:tableColumns count="14">
    <x:tableColumn id="1" name="新编号"/>
    <x:tableColumn id="2" name="六经"/>
    <x:tableColumn id="3" name="难度"/>
    <x:tableColumn id="4" name="方证参考"/>
    <x:tableColumn id="5" name="模拟病历文本"/>
    <x:tableColumn id="6" name="主要鉴别点"/>
    <x:tableColumn id="7" name="相关条文号"/>
    <x:tableColumn id="8" name="鉴别规则ID"/>
    <x:tableColumn id="9" name="原始编号"/>
    <x:tableColumn id="10" name="处理决定"/>
    <x:tableColumn id="11" name="专家审核状态"/>
    <x:tableColumn id="12" name="研发预审说明"/>
    <x:tableColumn id="13" name="证据ID列表"/>
    <x:tableColumn id="14" name="专家复核关注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48Audit" displayName="Original48Audit" ref="A1:I49" headerRowCount="1" totalsRowCount="0" totalsRowShown="0">
  <x:tableColumns count="9">
    <x:tableColumn id="1" name="原编号"/>
    <x:tableColumn id="2" name="原类别"/>
    <x:tableColumn id="3" name="原难度"/>
    <x:tableColumn id="4" name="原六经参考"/>
    <x:tableColumn id="5" name="原方证参考"/>
    <x:tableColumn id="6" name="研发预审决定"/>
    <x:tableColumn id="7" name="对应新编号"/>
    <x:tableColumn id="8" name="需审核的问题"/>
    <x:tableColumn id="9" name="保留/修改/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Changes" displayName="CaseChanges" ref="A1:H37" headerRowCount="1" totalsRowCount="0" totalsRowShown="0">
  <x:tableColumns count="8">
    <x:tableColumn id="1" name="新编号"/>
    <x:tableColumn id="2" name="原编号"/>
    <x:tableColumn id="3" name="六经"/>
    <x:tableColumn id="4" name="方证"/>
    <x:tableColumn id="5" name="研发处理"/>
    <x:tableColumn id="6" name="原始病历（摘自输入）"/>
    <x:tableColumn id="7" name="新病历（评价用）"/>
    <x:tableColumn id="8" name="为什么处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fferentialPairs" displayName="DifferentialPairs" ref="A1:D12" headerRowCount="1" totalsRowCount="0" totalsRowShown="0">
  <x:tableColumns count="4">
    <x:tableColumn id="1" name="案例A"/>
    <x:tableColumn id="2" name="案例B"/>
    <x:tableColumn id="3" name="关键分辨信息"/>
    <x:tableColumn id="4" name="知识库规则（仅作为参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585edb8da8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1a00929c9747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acbf3a8d7347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64b9d62e52403a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20" hidden="0" customWidth="1"/>
  </x:cols>
  <x:sheetData>
    <x:row r="1" ht="27" customHeight="1">
      <x:c r="A1" s="4" t="str">
        <x:v>六经辨证 · 标准36例研发银标预审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9" t="str">
        <x:v>总病例</x:v>
      </x:c>
      <x:c r="B4" s="9" t="str">
        <x:v>36</x:v>
      </x:c>
      <x:c r="C4" s="9" t="str">
        <x:v>类别数</x:v>
      </x:c>
      <x:c r="D4" s="9" t="str">
        <x:v>6</x:v>
      </x:c>
      <x:c r="E4" s="9" t="str">
        <x:v>每类数量</x:v>
      </x:c>
      <x:c r="F4" s="9" t="str">
        <x:v>6</x:v>
      </x:c>
      <x:c r="G4" s="9" t="str">
        <x:v>难度</x:v>
      </x:c>
      <x:c r="H4" s="9" t="str">
        <x:v>standard</x:v>
      </x:c>
    </x:row>
    <x:row r="6" ht="32" customHeight="1">
      <x:c r="A6" s="15" t="str">
        <x:v>六经</x:v>
      </x:c>
      <x:c r="B6" s="15" t="str">
        <x:v>计数(动态)</x:v>
      </x:c>
      <x:c r="C6" s="15" t="str">
        <x:v>方证种数</x:v>
      </x:c>
      <x:c r="D6" s="15" t="str">
        <x:v>原样保留</x:v>
      </x:c>
      <x:c r="E6" s="15" t="str">
        <x:v>优化改写</x:v>
      </x:c>
      <x:c r="F6" s="15" t="str">
        <x:v>新建案例</x:v>
      </x:c>
    </x:row>
    <x:row r="7" ht="26" customHeight="1">
      <x:c r="A7" t="str">
        <x:v>太阳</x:v>
      </x:c>
      <x:c r="B7" t="n">
        <x:f>COUNTIF('36例标准测试集'!$B$2:$B$37,A7)</x:f>
        <x:v>6</x:v>
      </x:c>
      <x:c r="C7" t="n">
        <x:v>6</x:v>
      </x:c>
      <x:c r="D7" t="n">
        <x:v>5</x:v>
      </x:c>
      <x:c r="E7" t="n">
        <x:v>1</x:v>
      </x:c>
      <x:c r="F7" t="n">
        <x:v>0</x:v>
      </x:c>
    </x:row>
    <x:row r="8" ht="26" customHeight="1">
      <x:c r="A8" t="str">
        <x:v>阳明</x:v>
      </x:c>
      <x:c r="B8" t="n">
        <x:f>COUNTIF('36例标准测试集'!$B$2:$B$37,A8)</x:f>
        <x:v>6</x:v>
      </x:c>
      <x:c r="C8" t="n">
        <x:v>6</x:v>
      </x:c>
      <x:c r="D8" t="n">
        <x:v>1</x:v>
      </x:c>
      <x:c r="E8" t="n">
        <x:v>5</x:v>
      </x:c>
      <x:c r="F8" t="n">
        <x:v>0</x:v>
      </x:c>
    </x:row>
    <x:row r="9" ht="26" customHeight="1">
      <x:c r="A9" t="str">
        <x:v>少阳</x:v>
      </x:c>
      <x:c r="B9" t="n">
        <x:f>COUNTIF('36例标准测试集'!$B$2:$B$37,A9)</x:f>
        <x:v>6</x:v>
      </x:c>
      <x:c r="C9" t="n">
        <x:v>5</x:v>
      </x:c>
      <x:c r="D9" t="n">
        <x:v>1</x:v>
      </x:c>
      <x:c r="E9" t="n">
        <x:v>2</x:v>
      </x:c>
      <x:c r="F9" t="n">
        <x:v>3</x:v>
      </x:c>
    </x:row>
    <x:row r="10" ht="26" customHeight="1">
      <x:c r="A10" t="str">
        <x:v>太阴</x:v>
      </x:c>
      <x:c r="B10" t="n">
        <x:f>COUNTIF('36例标准测试集'!$B$2:$B$37,A10)</x:f>
        <x:v>6</x:v>
      </x:c>
      <x:c r="C10" t="n">
        <x:v>3</x:v>
      </x:c>
      <x:c r="D10" t="n">
        <x:v>0</x:v>
      </x:c>
      <x:c r="E10" t="n">
        <x:v>4</x:v>
      </x:c>
      <x:c r="F10" t="n">
        <x:v>2</x:v>
      </x:c>
    </x:row>
    <x:row r="11" ht="26" customHeight="1">
      <x:c r="A11" t="str">
        <x:v>少阴</x:v>
      </x:c>
      <x:c r="B11" t="n">
        <x:f>COUNTIF('36例标准测试集'!$B$2:$B$37,A11)</x:f>
        <x:v>6</x:v>
      </x:c>
      <x:c r="C11" t="n">
        <x:v>6</x:v>
      </x:c>
      <x:c r="D11" t="n">
        <x:v>3</x:v>
      </x:c>
      <x:c r="E11" t="n">
        <x:v>3</x:v>
      </x:c>
      <x:c r="F11" t="n">
        <x:v>0</x:v>
      </x:c>
    </x:row>
    <x:row r="12" ht="26" customHeight="1">
      <x:c r="A12" t="str">
        <x:v>厥阴</x:v>
      </x:c>
      <x:c r="B12" t="n">
        <x:f>COUNTIF('36例标准测试集'!$B$2:$B$37,A12)</x:f>
        <x:v>6</x:v>
      </x:c>
      <x:c r="C12" t="n">
        <x:v>6</x:v>
      </x:c>
      <x:c r="D12" t="n">
        <x:v>0</x:v>
      </x:c>
      <x:c r="E12" t="n">
        <x:v>3</x:v>
      </x:c>
      <x:c r="F12" t="n">
        <x:v>3</x:v>
      </x:c>
    </x:row>
    <x:row r="14" ht="25" customHeight="1">
      <x:c r="A14" s="20" t="str">
        <x:v>原始数据</x:v>
      </x:c>
      <x:c r="B14" t="str">
        <x:v>48例</x:v>
      </x:c>
    </x:row>
    <x:row r="15" ht="25" customHeight="1">
      <x:c r="A15" s="20" t="str">
        <x:v>原standard</x:v>
      </x:c>
      <x:c r="B15" t="str">
        <x:v>35例</x:v>
      </x:c>
    </x:row>
    <x:row r="16" ht="25" customHeight="1">
      <x:c r="A16" s="20" t="str">
        <x:v>原hard</x:v>
      </x:c>
      <x:c r="B16" t="str">
        <x:v>13例</x:v>
      </x:c>
    </x:row>
    <x:row r="17" ht="25" customHeight="1">
      <x:c r="A17" s="20" t="str">
        <x:v>原standard无方证</x:v>
      </x:c>
      <x:c r="B17" t="str">
        <x:v>6例</x:v>
      </x:c>
    </x:row>
    <x:row r="18" ht="25" customHeight="1">
      <x:c r="A18" s="20" t="str">
        <x:v>专家审核状态</x:v>
      </x:c>
      <x:c r="B18" t="str">
        <x:v>全部待专家盲审</x:v>
      </x:c>
    </x:row>
    <x:row r="21" ht="26" customHeight="1">
      <x:c r="A21" s="25" t="str">
        <x:v>注意：本表仅完成研发侧条文/方证来源一致性预审，尚未取得执业中医专家盲审批准；不可把银标用作临床确诊、用药或医疗建议。</x:v>
      </x:c>
      <x:c r="B21" s="25"/>
      <x:c r="C21" s="25"/>
      <x:c r="D21" s="25"/>
      <x:c r="E21" s="25"/>
      <x:c r="F21" s="25"/>
      <x:c r="G21" s="25"/>
      <x:c r="H21" s="25"/>
    </x:row>
    <x:row r="22" ht="26" customHeight="1">
      <x:c r="A22" s="25"/>
      <x:c r="B22" s="25"/>
      <x:c r="C22" s="25"/>
      <x:c r="D22" s="25"/>
      <x:c r="E22" s="25"/>
      <x:c r="F22" s="25"/>
      <x:c r="G22" s="25"/>
      <x:c r="H22" s="25"/>
    </x:row>
    <x:row r="24" ht="26" customHeight="1">
      <x:c r="A24" s="32" t="str">
        <x:v>优先专家复核：太阴的“理中丸”属于第273/277条证候与第386条方证的跨条文推定；少阳“柴胡桂枝汤”兼表证；厥阴“吴茱萸汤”跨章节。审核未通过应替换，不可暗改参考。</x:v>
      </x:c>
      <x:c r="B24" s="32"/>
      <x:c r="C24" s="32"/>
      <x:c r="D24" s="32"/>
      <x:c r="E24" s="32"/>
      <x:c r="F24" s="32"/>
      <x:c r="G24" s="32"/>
      <x:c r="H24" s="32"/>
    </x:row>
    <x:row r="25" ht="26" customHeight="1">
      <x:c r="A25" s="32"/>
      <x:c r="B25" s="32"/>
      <x:c r="C25" s="32"/>
      <x:c r="D25" s="32"/>
      <x:c r="E25" s="32"/>
      <x:c r="F25" s="32"/>
      <x:c r="G25" s="32"/>
      <x:c r="H25" s="32"/>
    </x:row>
  </x:sheetData>
  <x:mergeCells>
    <x:mergeCell ref="A1:H2"/>
    <x:mergeCell ref="A21:H22"/>
    <x:mergeCell ref="A24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27" hidden="0" customWidth="1"/>
    <x:col min="5" max="5" width="69" hidden="0" customWidth="1"/>
    <x:col min="6" max="6" width="41" hidden="0" customWidth="1"/>
    <x:col min="7" max="7" width="21" hidden="0" customWidth="1"/>
    <x:col min="8" max="8" width="32" hidden="0" customWidth="1"/>
    <x:col min="9" max="9" width="17" hidden="0" customWidth="1"/>
    <x:col min="10" max="10" width="15" hidden="0" customWidth="1"/>
    <x:col min="11" max="11" width="24" hidden="0" customWidth="1"/>
    <x:col min="12" max="12" width="57" hidden="0" customWidth="1"/>
    <x:col min="13" max="13" width="63" hidden="0" customWidth="1"/>
    <x:col min="14" max="14" width="42" hidden="0" customWidth="1"/>
  </x:cols>
  <x:sheetData>
    <x:row r="1" ht="32" customHeight="1">
      <x:c r="A1" s="15" t="str">
        <x:v>新编号</x:v>
      </x:c>
      <x:c r="B1" s="15" t="str">
        <x:v>六经</x:v>
      </x:c>
      <x:c r="C1" s="15" t="str">
        <x:v>难度</x:v>
      </x:c>
      <x:c r="D1" s="15" t="str">
        <x:v>方证参考</x:v>
      </x:c>
      <x:c r="E1" s="15" t="str">
        <x:v>模拟病历文本</x:v>
      </x:c>
      <x:c r="F1" s="15" t="str">
        <x:v>主要鉴别点</x:v>
      </x:c>
      <x:c r="G1" s="15" t="str">
        <x:v>相关条文号</x:v>
      </x:c>
      <x:c r="H1" s="15" t="str">
        <x:v>鉴别规则ID</x:v>
      </x:c>
      <x:c r="I1" s="15" t="str">
        <x:v>原始编号</x:v>
      </x:c>
      <x:c r="J1" s="15" t="str">
        <x:v>处理决定</x:v>
      </x:c>
      <x:c r="K1" s="15" t="str">
        <x:v>专家审核状态</x:v>
      </x:c>
      <x:c r="L1" s="15" t="str">
        <x:v>研发预审说明</x:v>
      </x:c>
      <x:c r="M1" s="15" t="str">
        <x:v>证据ID列表</x:v>
      </x:c>
      <x:c r="N1" s="15" t="str">
        <x:v>专家复核关注点</x:v>
      </x:c>
    </x:row>
    <x:row r="2" ht="64" customHeight="1">
      <x:c r="A2" s="36" t="str">
        <x:v>STD001</x:v>
      </x:c>
      <x:c r="B2" s="36" t="str">
        <x:v>太阳</x:v>
      </x:c>
      <x:c r="C2" s="36" t="str">
        <x:v>standard</x:v>
      </x:c>
      <x:c r="D2" s="36" t="str">
        <x:v>桂枝汤</x:v>
      </x:c>
      <x:c r="E2" s="38" t="str">
        <x:v>起病两天，发热恶风，微微汗出，头痛，脉浮而缓。</x:v>
      </x:c>
      <x:c r="F2" s="38" t="str">
        <x:v>汗出、恶风、脉浮缓，桂枝汤与麻黄汤的关键差异</x:v>
      </x:c>
      <x:c r="G2" s="38" t="str">
        <x:v>2,12,13</x:v>
      </x:c>
      <x:c r="H2" s="38" t="str">
        <x:v>diff_v12_001</x:v>
      </x:c>
      <x:c r="I2" s="36" t="str">
        <x:v>SC001</x:v>
      </x:c>
      <x:c r="J2" s="40" t="str">
        <x:v>保留</x:v>
      </x:c>
      <x:c r="K2" s="36" t="str">
        <x:v>待中医专家盲审</x:v>
      </x:c>
      <x:c r="L2" s="38" t="str">
        <x:v>核心表现充分，来源第2/12/13条对应</x:v>
      </x:c>
      <x:c r="M2" s="38" t="str">
        <x:v>1.2:clause_2,1.2:clause_12,1.2:clause_13,1.2:diff_v12_001,1.2:formula_0065</x:v>
      </x:c>
      <x:c r="N2" s="38" t="str"/>
    </x:row>
    <x:row r="3" ht="64" customHeight="1">
      <x:c r="A3" s="36" t="str">
        <x:v>STD002</x:v>
      </x:c>
      <x:c r="B3" s="36" t="str">
        <x:v>太阳</x:v>
      </x:c>
      <x:c r="C3" s="36" t="str">
        <x:v>standard</x:v>
      </x:c>
      <x:c r="D3" s="36" t="str">
        <x:v>麻黄汤</x:v>
      </x:c>
      <x:c r="E3" s="38" t="str">
        <x:v>恶寒明显，发热头项痛，身上骨节酸痛，没有出汗，呼吸略喘，脉浮紧。</x:v>
      </x:c>
      <x:c r="F3" s="38" t="str">
        <x:v>无汗、身痛、喘、脉浮紧</x:v>
      </x:c>
      <x:c r="G3" s="38" t="str">
        <x:v>3,35</x:v>
      </x:c>
      <x:c r="H3" s="38" t="str">
        <x:v>diff_v12_001,diff_v12_053</x:v>
      </x:c>
      <x:c r="I3" s="36" t="str">
        <x:v>SC002</x:v>
      </x:c>
      <x:c r="J3" s="40" t="str">
        <x:v>保留</x:v>
      </x:c>
      <x:c r="K3" s="36" t="str">
        <x:v>待中医专家盲审</x:v>
      </x:c>
      <x:c r="L3" s="38" t="str">
        <x:v>第35条表实脉证组合明确</x:v>
      </x:c>
      <x:c r="M3" s="38" t="str">
        <x:v>1.2:clause_3,1.2:clause_35,1.2:diff_v12_001,1.2:diff_v12_053,1.2:formula_0120</x:v>
      </x:c>
      <x:c r="N3" s="38" t="str"/>
    </x:row>
    <x:row r="4" ht="64" customHeight="1">
      <x:c r="A4" s="36" t="str">
        <x:v>STD003</x:v>
      </x:c>
      <x:c r="B4" s="36" t="str">
        <x:v>太阳</x:v>
      </x:c>
      <x:c r="C4" s="36" t="str">
        <x:v>standard</x:v>
      </x:c>
      <x:c r="D4" s="36" t="str">
        <x:v>葛根汤</x:v>
      </x:c>
      <x:c r="E4" s="38" t="str">
        <x:v>脖子连着上背发紧僵硬，怕风，无汗，脉浮。</x:v>
      </x:c>
      <x:c r="F4" s="38" t="str">
        <x:v>项背强、恶风、无汗、脉浮</x:v>
      </x:c>
      <x:c r="G4" s="38" t="str">
        <x:v>31</x:v>
      </x:c>
      <x:c r="H4" s="38" t="str"/>
      <x:c r="I4" s="36" t="str">
        <x:v>SC003</x:v>
      </x:c>
      <x:c r="J4" s="40" t="str">
        <x:v>保留</x:v>
      </x:c>
      <x:c r="K4" s="36" t="str">
        <x:v>待中医专家盲审</x:v>
      </x:c>
      <x:c r="L4" s="38" t="str">
        <x:v>第31条葛根汤脉证完整；发热非必填条件</x:v>
      </x:c>
      <x:c r="M4" s="38" t="str">
        <x:v>1.2:clause_31,1.2:formula_0107</x:v>
      </x:c>
      <x:c r="N4" s="38" t="str"/>
    </x:row>
    <x:row r="5" ht="64" customHeight="1">
      <x:c r="A5" s="36" t="str">
        <x:v>STD004</x:v>
      </x:c>
      <x:c r="B5" s="36" t="str">
        <x:v>太阳</x:v>
      </x:c>
      <x:c r="C5" s="36" t="str">
        <x:v>standard</x:v>
      </x:c>
      <x:c r="D5" s="36" t="str">
        <x:v>大青龙汤</x:v>
      </x:c>
      <x:c r="E5" s="38" t="str">
        <x:v>发热恶寒，全身疼，脉浮紧，汗始终出不来，烦躁不宁。</x:v>
      </x:c>
      <x:c r="F5" s="38" t="str">
        <x:v>恶寒发热、身痛、无汗而烦躁、脉浮紧</x:v>
      </x:c>
      <x:c r="G5" s="38" t="str">
        <x:v>38</x:v>
      </x:c>
      <x:c r="H5" s="38" t="str"/>
      <x:c r="I5" s="36" t="str">
        <x:v>SC004</x:v>
      </x:c>
      <x:c r="J5" s="40" t="str">
        <x:v>保留</x:v>
      </x:c>
      <x:c r="K5" s="36" t="str">
        <x:v>待中医专家盲审</x:v>
      </x:c>
      <x:c r="L5" s="38" t="str">
        <x:v>第38条不汗出而烦躁表现明确</x:v>
      </x:c>
      <x:c r="M5" s="38" t="str">
        <x:v>1.2:clause_38,1.2:formula_0022</x:v>
      </x:c>
      <x:c r="N5" s="38" t="str"/>
    </x:row>
    <x:row r="6" ht="64" customHeight="1">
      <x:c r="A6" s="36" t="str">
        <x:v>STD005</x:v>
      </x:c>
      <x:c r="B6" s="36" t="str">
        <x:v>太阳</x:v>
      </x:c>
      <x:c r="C6" s="36" t="str">
        <x:v>standard</x:v>
      </x:c>
      <x:c r="D6" s="36" t="str">
        <x:v>小青龙汤</x:v>
      </x:c>
      <x:c r="E6" s="38" t="str">
        <x:v>受凉后发热恶寒、无汗，咳嗽喘促，咯白色清稀痰较多，时有干呕，胸脘有水饮停聚感，脉浮紧。</x:v>
      </x:c>
      <x:c r="F6" s="38" t="str">
        <x:v>表寒未解兼寒饮、干呕和清稀痰咳喘</x:v>
      </x:c>
      <x:c r="G6" s="38" t="str">
        <x:v>40</x:v>
      </x:c>
      <x:c r="H6" s="38" t="str">
        <x:v>diff_v12_053</x:v>
      </x:c>
      <x:c r="I6" s="36" t="str">
        <x:v>SC005</x:v>
      </x:c>
      <x:c r="J6" s="42" t="str">
        <x:v>优化</x:v>
      </x:c>
      <x:c r="K6" s="36" t="str">
        <x:v>待中医专家盲审</x:v>
      </x:c>
      <x:c r="L6" s="38" t="str">
        <x:v>补足表寒无汗、浮紧脉和痰饮形态，使第40条方证更可鉴别</x:v>
      </x:c>
      <x:c r="M6" s="38" t="str">
        <x:v>1.2:clause_40,1.2:diff_v12_053,1.2:formula_0032</x:v>
      </x:c>
      <x:c r="N6" s="38" t="str"/>
    </x:row>
    <x:row r="7" ht="64" customHeight="1">
      <x:c r="A7" s="36" t="str">
        <x:v>STD006</x:v>
      </x:c>
      <x:c r="B7" s="36" t="str">
        <x:v>太阳</x:v>
      </x:c>
      <x:c r="C7" s="36" t="str">
        <x:v>standard</x:v>
      </x:c>
      <x:c r="D7" s="36" t="str">
        <x:v>五苓散</x:v>
      </x:c>
      <x:c r="E7" s="38" t="str">
        <x:v>发热烦渴，想喝水但喝进去又吐，小便量少，脉浮。</x:v>
      </x:c>
      <x:c r="F7" s="38" t="str">
        <x:v>小便不利、渴欲饮水、水入则吐、脉浮</x:v>
      </x:c>
      <x:c r="G7" s="38" t="str">
        <x:v>71,74</x:v>
      </x:c>
      <x:c r="H7" s="38" t="str">
        <x:v>diff_v12_002,diff_v12_038</x:v>
      </x:c>
      <x:c r="I7" s="36" t="str">
        <x:v>SC006</x:v>
      </x:c>
      <x:c r="J7" s="40" t="str">
        <x:v>保留</x:v>
      </x:c>
      <x:c r="K7" s="36" t="str">
        <x:v>待中医专家盲审</x:v>
      </x:c>
      <x:c r="L7" s="38" t="str">
        <x:v>第71/74条水饮不化核心组合明确</x:v>
      </x:c>
      <x:c r="M7" s="38" t="str">
        <x:v>1.2:clause_71,1.2:clause_74,1.2:diff_v12_002,1.2:diff_v12_038,1.2:formula_0006</x:v>
      </x:c>
      <x:c r="N7" s="38" t="str"/>
    </x:row>
    <x:row r="8" ht="64" customHeight="1">
      <x:c r="A8" s="36" t="str">
        <x:v>STD007</x:v>
      </x:c>
      <x:c r="B8" s="36" t="str">
        <x:v>阳明</x:v>
      </x:c>
      <x:c r="C8" s="36" t="str">
        <x:v>standard</x:v>
      </x:c>
      <x:c r="D8" s="36" t="str">
        <x:v>大承气汤</x:v>
      </x:c>
      <x:c r="E8" s="38" t="str">
        <x:v>近几日大便不通，腹部胀满而硬痛，按之疼痛加重，午后潮热明显，手足多汗，烦躁口干，脉沉实。</x:v>
      </x:c>
      <x:c r="F8" s="38" t="str">
        <x:v>潮热、腹满硬痛拒按、便闭、手足汗出</x:v>
      </x:c>
      <x:c r="G8" s="38" t="str">
        <x:v>208,212,255</x:v>
      </x:c>
      <x:c r="H8" s="38" t="str">
        <x:v>diff_v12_004,diff_v12_019</x:v>
      </x:c>
      <x:c r="I8" s="36" t="str">
        <x:v>SC010</x:v>
      </x:c>
      <x:c r="J8" s="42" t="str">
        <x:v>优化</x:v>
      </x:c>
      <x:c r="K8" s="36" t="str">
        <x:v>待中医专家盲审</x:v>
      </x:c>
      <x:c r="L8" s="38" t="str">
        <x:v>补足大承气汤腹实的程度，与小承气及调胃承气拉开差异</x:v>
      </x:c>
      <x:c r="M8" s="38" t="str">
        <x:v>1.2:clause_208,1.2:clause_212,1.2:clause_255,1.2:diff_v12_004,1.2:diff_v12_019,1.2:formula_0018</x:v>
      </x:c>
      <x:c r="N8" s="38" t="str"/>
    </x:row>
    <x:row r="9" ht="64" customHeight="1">
      <x:c r="A9" s="36" t="str">
        <x:v>STD008</x:v>
      </x:c>
      <x:c r="B9" s="36" t="str">
        <x:v>阳明</x:v>
      </x:c>
      <x:c r="C9" s="36" t="str">
        <x:v>standard</x:v>
      </x:c>
      <x:c r="D9" s="36" t="str">
        <x:v>小承气汤</x:v>
      </x:c>
      <x:c r="E9" s="38" t="str">
        <x:v>这几日大便干结不畅，午后略有潮热，腹胀但未见坚硬拒按，仍能排气，偶感心烦，脉滑而有力。</x:v>
      </x:c>
      <x:c r="F9" s="38" t="str">
        <x:v>便硬、轻度腹实、潮热而无明显硬满</x:v>
      </x:c>
      <x:c r="G9" s="38" t="str">
        <x:v>213,250</x:v>
      </x:c>
      <x:c r="H9" s="38" t="str">
        <x:v>diff_v12_004</x:v>
      </x:c>
      <x:c r="I9" s="36" t="str">
        <x:v>SC011</x:v>
      </x:c>
      <x:c r="J9" s="42" t="str">
        <x:v>优化</x:v>
      </x:c>
      <x:c r="K9" s="36" t="str">
        <x:v>待中医专家盲审</x:v>
      </x:c>
      <x:c r="L9" s="38" t="str">
        <x:v>删除容易指向重证的言语错乱，突出小承气汤与大承气汤的程度差异</x:v>
      </x:c>
      <x:c r="M9" s="38" t="str">
        <x:v>1.2:clause_213,1.2:clause_250,1.2:diff_v12_004,1.2:formula_0029</x:v>
      </x:c>
      <x:c r="N9" s="38" t="str"/>
    </x:row>
    <x:row r="10" ht="64" customHeight="1">
      <x:c r="A10" s="36" t="str">
        <x:v>STD009</x:v>
      </x:c>
      <x:c r="B10" s="36" t="str">
        <x:v>阳明</x:v>
      </x:c>
      <x:c r="C10" s="36" t="str">
        <x:v>standard</x:v>
      </x:c>
      <x:c r="D10" s="36" t="str">
        <x:v>调胃承气汤</x:v>
      </x:c>
      <x:c r="E10" s="38" t="str">
        <x:v>前几日外感曾经发汗，现蒸蒸发热、心中烦躁、口干、大便干燥，腹部略胀但不明显硬满拒按，脉偏有力。</x:v>
      </x:c>
      <x:c r="F10" s="38" t="str">
        <x:v>蒸蒸发热、烦躁、燥结为主、腹实不重</x:v>
      </x:c>
      <x:c r="G10" s="38" t="str">
        <x:v>248,249</x:v>
      </x:c>
      <x:c r="H10" s="38" t="str">
        <x:v>diff_v12_004</x:v>
      </x:c>
      <x:c r="I10" s="36" t="str">
        <x:v>SC012</x:v>
      </x:c>
      <x:c r="J10" s="42" t="str">
        <x:v>优化</x:v>
      </x:c>
      <x:c r="K10" s="36" t="str">
        <x:v>待中医专家盲审</x:v>
      </x:c>
      <x:c r="L10" s="38" t="str">
        <x:v>写清治疗后症状现在仍在，减少 time_scope=after_treatment 的误丢风险</x:v>
      </x:c>
      <x:c r="M10" s="38" t="str">
        <x:v>1.2:clause_248,1.2:clause_249,1.2:diff_v12_004,1.2:formula_0109</x:v>
      </x:c>
      <x:c r="N10" s="38" t="str"/>
    </x:row>
    <x:row r="11" ht="64" customHeight="1">
      <x:c r="A11" s="36" t="str">
        <x:v>STD010</x:v>
      </x:c>
      <x:c r="B11" s="36" t="str">
        <x:v>阳明</x:v>
      </x:c>
      <x:c r="C11" s="36" t="str">
        <x:v>standard</x:v>
      </x:c>
      <x:c r="D11" s="36" t="str">
        <x:v>麻子仁丸</x:v>
      </x:c>
      <x:c r="E11" s="38" t="str">
        <x:v>近来大便经常干硬难解，同时小便次数偏多，腹部不明显胀痛，食欲尚可，脉浮而略涩。</x:v>
      </x:c>
      <x:c r="F11" s="38" t="str">
        <x:v>脾约便硬与小便数、脉浮涩</x:v>
      </x:c>
      <x:c r="G11" s="38" t="str">
        <x:v>247</x:v>
      </x:c>
      <x:c r="H11" s="38" t="str">
        <x:v>diff_v12_022</x:v>
      </x:c>
      <x:c r="I11" s="36" t="str">
        <x:v>SC013</x:v>
      </x:c>
      <x:c r="J11" s="42" t="str">
        <x:v>优化</x:v>
      </x:c>
      <x:c r="K11" s="36" t="str">
        <x:v>待中医专家盲审</x:v>
      </x:c>
      <x:c r="L11" s="38" t="str">
        <x:v>补足第247条脾约特点，避免泛化为普通便秘</x:v>
      </x:c>
      <x:c r="M11" s="38" t="str">
        <x:v>1.2:clause_247,1.2:diff_v12_022,1.2:formula_0117</x:v>
      </x:c>
      <x:c r="N11" s="38" t="str"/>
    </x:row>
    <x:row r="12" ht="64" customHeight="1">
      <x:c r="A12" s="36" t="str">
        <x:v>STD011</x:v>
      </x:c>
      <x:c r="B12" s="36" t="str">
        <x:v>阳明</x:v>
      </x:c>
      <x:c r="C12" s="36" t="str">
        <x:v>standard</x:v>
      </x:c>
      <x:c r="D12" s="36" t="str">
        <x:v>茵陈蒿汤</x:v>
      </x:c>
      <x:c r="E12" s="38" t="str">
        <x:v>身目发黄，小便少且颜色深，口渴喜欢饮水，胸腹闷胀，发热。</x:v>
      </x:c>
      <x:c r="F12" s="38" t="str">
        <x:v>身目黄染、小便短少色深、口渴、发热腹满</x:v>
      </x:c>
      <x:c r="G12" s="38" t="str">
        <x:v>236</x:v>
      </x:c>
      <x:c r="H12" s="38" t="str">
        <x:v>diff_v12_033</x:v>
      </x:c>
      <x:c r="I12" s="36" t="str">
        <x:v>SC014</x:v>
      </x:c>
      <x:c r="J12" s="40" t="str">
        <x:v>保留</x:v>
      </x:c>
      <x:c r="K12" s="36" t="str">
        <x:v>待中医专家盲审</x:v>
      </x:c>
      <x:c r="L12" s="38" t="str">
        <x:v>第236条黄疸伴小便不利及渴欲饮水，未混入寒湿反证</x:v>
      </x:c>
      <x:c r="M12" s="38" t="str">
        <x:v>1.2:clause_236,1.2:diff_v12_033,1.2:formula_0104</x:v>
      </x:c>
      <x:c r="N12" s="38" t="str"/>
    </x:row>
    <x:row r="13" ht="64" customHeight="1">
      <x:c r="A13" s="36" t="str">
        <x:v>STD012</x:v>
      </x:c>
      <x:c r="B13" s="36" t="str">
        <x:v>阳明</x:v>
      </x:c>
      <x:c r="C13" s="36" t="str">
        <x:v>standard</x:v>
      </x:c>
      <x:c r="D13" s="36" t="str">
        <x:v>猪苓汤</x:v>
      </x:c>
      <x:c r="E13" s="38" t="str">
        <x:v>这两日发热、口渴想喝水，饮水后不呕，小便量少且排尿不畅，心中烦，脉浮，未见腹部硬满及大便秘结。</x:v>
      </x:c>
      <x:c r="F13" s="38" t="str">
        <x:v>发热渴饮、小便不利、脉浮，无水入即吐和燥屎腹实</x:v>
      </x:c>
      <x:c r="G13" s="38" t="str">
        <x:v>223</x:v>
      </x:c>
      <x:c r="H13" s="38" t="str">
        <x:v>diff_v12_020,diff_v12_042</x:v>
      </x:c>
      <x:c r="I13" s="36" t="str">
        <x:v>SC015</x:v>
      </x:c>
      <x:c r="J13" s="42" t="str">
        <x:v>优化</x:v>
      </x:c>
      <x:c r="K13" s="36" t="str">
        <x:v>待中医专家盲审</x:v>
      </x:c>
      <x:c r="L13" s="38" t="str">
        <x:v>补齐第223条浮脉，增加与五苓散、大承气汤的鉴别信息</x:v>
      </x:c>
      <x:c r="M13" s="38" t="str">
        <x:v>1.2:clause_223,1.2:diff_v12_020,1.2:diff_v12_042,1.2:formula_0079</x:v>
      </x:c>
      <x:c r="N13" s="38" t="str"/>
    </x:row>
    <x:row r="14" ht="64" customHeight="1">
      <x:c r="A14" s="36" t="str">
        <x:v>STD013</x:v>
      </x:c>
      <x:c r="B14" s="36" t="str">
        <x:v>少阳</x:v>
      </x:c>
      <x:c r="C14" s="36" t="str">
        <x:v>standard</x:v>
      </x:c>
      <x:c r="D14" s="36" t="str">
        <x:v>小柴胡汤</x:v>
      </x:c>
      <x:c r="E14" s="38" t="str">
        <x:v>这几天冷热交替发作，胸胁发胀，口苦，不太想吃饭，心烦易恶心。</x:v>
      </x:c>
      <x:c r="F14" s="38" t="str">
        <x:v>寒热往来、胸胁苦满、口苦、纳差、喜呕</x:v>
      </x:c>
      <x:c r="G14" s="38" t="str">
        <x:v>96</x:v>
      </x:c>
      <x:c r="H14" s="38" t="str">
        <x:v>diff_v12_016</x:v>
      </x:c>
      <x:c r="I14" s="36" t="str">
        <x:v>SC016</x:v>
      </x:c>
      <x:c r="J14" s="40" t="str">
        <x:v>保留</x:v>
      </x:c>
      <x:c r="K14" s="36" t="str">
        <x:v>待中医专家盲审</x:v>
      </x:c>
      <x:c r="L14" s="38" t="str">
        <x:v>第96条柴胡证组合典型，不单凭口苦一症</x:v>
      </x:c>
      <x:c r="M14" s="38" t="str">
        <x:v>1.2:clause_96,1.2:diff_v12_016,1.2:formula_0030</x:v>
      </x:c>
      <x:c r="N14" s="38" t="str"/>
    </x:row>
    <x:row r="15" ht="64" customHeight="1">
      <x:c r="A15" s="36" t="str">
        <x:v>STD014</x:v>
      </x:c>
      <x:c r="B15" s="36" t="str">
        <x:v>少阳</x:v>
      </x:c>
      <x:c r="C15" s="36" t="str">
        <x:v>standard</x:v>
      </x:c>
      <x:c r="D15" s="36" t="str">
        <x:v>小柴胡汤</x:v>
      </x:c>
      <x:c r="E15" s="38" t="str">
        <x:v>外感数日后，近两天寒热交替发作，胸胁胀满、口苦、食欲下降，时感恶心干呕，脉弦。</x:v>
      </x:c>
      <x:c r="F15" s="38" t="str">
        <x:v>现时往来寒热、胁满、食少、喜呕</x:v>
      </x:c>
      <x:c r="G15" s="38" t="str">
        <x:v>266</x:v>
      </x:c>
      <x:c r="H15" s="38" t="str"/>
      <x:c r="I15" s="36" t="str">
        <x:v>SC018</x:v>
      </x:c>
      <x:c r="J15" s="42" t="str">
        <x:v>优化</x:v>
      </x:c>
      <x:c r="K15" s="36" t="str">
        <x:v>待中医专家盲审</x:v>
      </x:c>
      <x:c r="L15" s="38" t="str">
        <x:v>保留原例由表转少阳的常见表述，简化时序使之适合标准难度</x:v>
      </x:c>
      <x:c r="M15" s="38" t="str">
        <x:v>1.2:clause_266,1.2:formula_0030</x:v>
      </x:c>
      <x:c r="N15" s="38" t="str"/>
    </x:row>
    <x:row r="16" ht="64" customHeight="1">
      <x:c r="A16" s="36" t="str">
        <x:v>STD015</x:v>
      </x:c>
      <x:c r="B16" s="36" t="str">
        <x:v>少阳</x:v>
      </x:c>
      <x:c r="C16" s="36" t="str">
        <x:v>standard</x:v>
      </x:c>
      <x:c r="D16" s="36" t="str">
        <x:v>大柴胡汤</x:v>
      </x:c>
      <x:c r="E16" s="38" t="str">
        <x:v>反复往来寒热、胸胁苦满，曾因不适服用泻下药；目前呕吐持续不止，心下部急迫胀痛，烦闷，大便干结，脉弦有力。</x:v>
      </x:c>
      <x:c r="F16" s="38" t="str">
        <x:v>柴胡证基础兼呕不止、心下急满痛</x:v>
      </x:c>
      <x:c r="G16" s="38" t="str">
        <x:v>103</x:v>
      </x:c>
      <x:c r="H16" s="38" t="str">
        <x:v>diff_v12_012</x:v>
      </x:c>
      <x:c r="I16" s="36" t="str">
        <x:v>SC019</x:v>
      </x:c>
      <x:c r="J16" s="42" t="str">
        <x:v>优化</x:v>
      </x:c>
      <x:c r="K16" s="36" t="str">
        <x:v>待中医专家盲审</x:v>
      </x:c>
      <x:c r="L16" s="38" t="str">
        <x:v>补足第103条决定性表现并排除仅见轻恶心的小柴胡情形</x:v>
      </x:c>
      <x:c r="M16" s="38" t="str">
        <x:v>1.2:clause_103,1.2:diff_v12_012,1.2:formula_0019</x:v>
      </x:c>
      <x:c r="N16" s="38" t="str"/>
    </x:row>
    <x:row r="17" ht="64" customHeight="1">
      <x:c r="A17" s="36" t="str">
        <x:v>STD016</x:v>
      </x:c>
      <x:c r="B17" s="36" t="str">
        <x:v>少阳</x:v>
      </x:c>
      <x:c r="C17" s="36" t="str">
        <x:v>standard</x:v>
      </x:c>
      <x:c r="D17" s="36" t="str">
        <x:v>柴胡加龙骨牡蛎汤</x:v>
      </x:c>
      <x:c r="E17" s="38" t="str">
        <x:v>外感约八九日后曾服泻下药，随后胸中胀满、心烦易惊，小便不畅，有时言语错乱，全身沉重到翻身困难。</x:v>
      </x:c>
      <x:c r="F17" s="38" t="str">
        <x:v>误下后胸满烦惊、小便不利、谵语与身重</x:v>
      </x:c>
      <x:c r="G17" s="38" t="str">
        <x:v>107</x:v>
      </x:c>
      <x:c r="H17" s="38" t="str"/>
      <x:c r="I17" s="36" t="str">
        <x:v>—</x:v>
      </x:c>
      <x:c r="J17" s="44" t="str">
        <x:v>新增</x:v>
      </x:c>
      <x:c r="K17" s="36" t="str">
        <x:v>待中医专家盲审</x:v>
      </x:c>
      <x:c r="L17" s="38" t="str">
        <x:v>与第107条柴胡加龙骨牡蛎汤相符；无须强行补脉象</x:v>
      </x:c>
      <x:c r="M17" s="38" t="str">
        <x:v>1.2:clause_107,1.2:formula_0042</x:v>
      </x:c>
      <x:c r="N17" s="38" t="str"/>
    </x:row>
    <x:row r="18" ht="64" customHeight="1">
      <x:c r="A18" s="36" t="str">
        <x:v>STD017</x:v>
      </x:c>
      <x:c r="B18" s="36" t="str">
        <x:v>少阳</x:v>
      </x:c>
      <x:c r="C18" s="36" t="str">
        <x:v>standard</x:v>
      </x:c>
      <x:c r="D18" s="36" t="str">
        <x:v>柴胡桂枝干姜汤</x:v>
      </x:c>
      <x:c r="E18" s="38" t="str">
        <x:v>外感五六日，发汗后又用泻下药，现寒热往来、胸胁微满、口渴而不呕，小便不畅，仅头部有汗，伴心烦。</x:v>
      </x:c>
      <x:c r="F18" s="38" t="str">
        <x:v>往来寒热、胸胁微结、头汗、渴而不呕、小便不利</x:v>
      </x:c>
      <x:c r="G18" s="38" t="str">
        <x:v>147</x:v>
      </x:c>
      <x:c r="H18" s="38" t="str">
        <x:v>diff_v12_027</x:v>
      </x:c>
      <x:c r="I18" s="36" t="str">
        <x:v>—</x:v>
      </x:c>
      <x:c r="J18" s="44" t="str">
        <x:v>新增</x:v>
      </x:c>
      <x:c r="K18" s="36" t="str">
        <x:v>待中医专家盲审</x:v>
      </x:c>
      <x:c r="L18" s="38" t="str">
        <x:v>参照第147条完整区别项及既往汗下史</x:v>
      </x:c>
      <x:c r="M18" s="38" t="str">
        <x:v>1.2:clause_147,1.2:diff_v12_027,1.2:formula_0043</x:v>
      </x:c>
      <x:c r="N18" s="38" t="str"/>
    </x:row>
    <x:row r="19" ht="64" customHeight="1">
      <x:c r="A19" s="36" t="str">
        <x:v>STD018</x:v>
      </x:c>
      <x:c r="B19" s="36" t="str">
        <x:v>少阳</x:v>
      </x:c>
      <x:c r="C19" s="36" t="str">
        <x:v>standard</x:v>
      </x:c>
      <x:c r="D19" s="36" t="str">
        <x:v>柴胡桂枝汤</x:v>
      </x:c>
      <x:c r="E19" s="38" t="str">
        <x:v>外感第六日，发热而微怕冷，四肢关节酸痛，偶有恶心干呕，心下部撑结不舒，表证仍未完全缓解。</x:v>
      </x:c>
      <x:c r="F19" s="38" t="str">
        <x:v>外证未解兼微呕、心下支结、关节疼痛</x:v>
      </x:c>
      <x:c r="G19" s="38" t="str">
        <x:v>146</x:v>
      </x:c>
      <x:c r="H19" s="38" t="str"/>
      <x:c r="I19" s="36" t="str">
        <x:v>—</x:v>
      </x:c>
      <x:c r="J19" s="44" t="str">
        <x:v>新增</x:v>
      </x:c>
      <x:c r="K19" s="36" t="str">
        <x:v>待中医专家盲审</x:v>
      </x:c>
      <x:c r="L19" s="38" t="str">
        <x:v>第146条少阳兼太阳倾向，现以少阳为主标签，须专家重点审核是否需双经参考</x:v>
      </x:c>
      <x:c r="M19" s="38" t="str">
        <x:v>1.2:clause_146,1.2:formula_0044</x:v>
      </x:c>
      <x:c r="N19" s="46" t="str">
        <x:v>少阳兼太阳；需核实单经标签</x:v>
      </x:c>
    </x:row>
    <x:row r="20" ht="64" customHeight="1">
      <x:c r="A20" s="36" t="str">
        <x:v>STD019</x:v>
      </x:c>
      <x:c r="B20" s="36" t="str">
        <x:v>太阴</x:v>
      </x:c>
      <x:c r="C20" s="36" t="str">
        <x:v>standard</x:v>
      </x:c>
      <x:c r="D20" s="36" t="str">
        <x:v>理中丸</x:v>
      </x:c>
      <x:c r="E20" s="38" t="str">
        <x:v>突然出现呕吐和清稀腹泻，腹部发凉而隐痛，畏寒、不口渴也不想喝水，食欲差，四肢尚温，脉沉缓。</x:v>
      </x:c>
      <x:c r="F20" s="38" t="str">
        <x:v>寒多不欲饮水、吐利、腹冷喜温</x:v>
      </x:c>
      <x:c r="G20" s="38" t="str">
        <x:v>273,277,386</x:v>
      </x:c>
      <x:c r="H20" s="38" t="str">
        <x:v>diff_v12_030,diff_v12_031</x:v>
      </x:c>
      <x:c r="I20" s="36" t="str">
        <x:v>SC020</x:v>
      </x:c>
      <x:c r="J20" s="42" t="str">
        <x:v>优化</x:v>
      </x:c>
      <x:c r="K20" s="36" t="str">
        <x:v>待中医专家盲审</x:v>
      </x:c>
      <x:c r="L20" s="38" t="str">
        <x:v>原太阴提纲例缺方证；改为与第386条理中丸相符的中焦寒性吐利，同时保留太阴证候依据</x:v>
      </x:c>
      <x:c r="M20" s="38" t="str">
        <x:v>1.2:clause_273,1.2:clause_277,1.2:clause_386,1.2:diff_v12_030,1.2:diff_v12_031,1.2:formula_0080</x:v>
      </x:c>
      <x:c r="N20" s="46" t="str">
        <x:v>跨条文推定；太阴归属需专家批准</x:v>
      </x:c>
    </x:row>
    <x:row r="21" ht="64" customHeight="1">
      <x:c r="A21" s="36" t="str">
        <x:v>STD020</x:v>
      </x:c>
      <x:c r="B21" s="36" t="str">
        <x:v>太阴</x:v>
      </x:c>
      <x:c r="C21" s="36" t="str">
        <x:v>standard</x:v>
      </x:c>
      <x:c r="D21" s="36" t="str">
        <x:v>理中丸</x:v>
      </x:c>
      <x:c r="E21" s="38" t="str">
        <x:v>近一日受寒后反复呕吐、清稀腹泻，腹部冷痛喜欢热敷，口不渴、不想饮水，神疲，脉沉缓但不微弱。</x:v>
      </x:c>
      <x:c r="F21" s="38" t="str">
        <x:v>寒多不用水、吐利、喜温、脉沉缓</x:v>
      </x:c>
      <x:c r="G21" s="38" t="str">
        <x:v>273,277,386</x:v>
      </x:c>
      <x:c r="H21" s="38" t="str">
        <x:v>diff_v12_030,diff_v12_031</x:v>
      </x:c>
      <x:c r="I21" s="36" t="str">
        <x:v>SC021</x:v>
      </x:c>
      <x:c r="J21" s="42" t="str">
        <x:v>优化</x:v>
      </x:c>
      <x:c r="K21" s="36" t="str">
        <x:v>待中医专家盲审</x:v>
      </x:c>
      <x:c r="L21" s="38" t="str">
        <x:v>原无方证；补入第386条理中丸寒多不用水的鉴别主轴，避免指向少阴亡阳</x:v>
      </x:c>
      <x:c r="M21" s="38" t="str">
        <x:v>1.2:clause_273,1.2:clause_277,1.2:clause_386,1.2:diff_v12_030,1.2:diff_v12_031,1.2:formula_0080</x:v>
      </x:c>
      <x:c r="N21" s="46" t="str">
        <x:v>跨条文推定；太阴归属需专家批准</x:v>
      </x:c>
    </x:row>
    <x:row r="22" ht="64" customHeight="1">
      <x:c r="A22" s="36" t="str">
        <x:v>STD021</x:v>
      </x:c>
      <x:c r="B22" s="36" t="str">
        <x:v>太阴</x:v>
      </x:c>
      <x:c r="C22" s="36" t="str">
        <x:v>standard</x:v>
      </x:c>
      <x:c r="D22" s="36" t="str">
        <x:v>桂枝加芍药汤</x:v>
      </x:c>
      <x:c r="E22" s="38" t="str">
        <x:v>原先受凉后头痛怕风，曾误服泻下药，此后头痛怕风减轻，当前以腹部胀满、间歇性腹痛为主，痛时轻时重，按之不剧痛。</x:v>
      </x:c>
      <x:c r="F22" s="38" t="str">
        <x:v>误下后腹满时痛，非大实痛</x:v>
      </x:c>
      <x:c r="G22" s="38" t="str">
        <x:v>279</x:v>
      </x:c>
      <x:c r="H22" s="38" t="str">
        <x:v>diff_v12_032</x:v>
      </x:c>
      <x:c r="I22" s="36" t="str">
        <x:v>SC022</x:v>
      </x:c>
      <x:c r="J22" s="42" t="str">
        <x:v>优化</x:v>
      </x:c>
      <x:c r="K22" s="36" t="str">
        <x:v>待中医专家盲审</x:v>
      </x:c>
      <x:c r="L22" s="38" t="str">
        <x:v>去除持续明显表证以保持主要太阴定位，第279条方证明确</x:v>
      </x:c>
      <x:c r="M22" s="38" t="str">
        <x:v>1.2:clause_279,1.2:diff_v12_032,1.2:formula_0057</x:v>
      </x:c>
      <x:c r="N22" s="38" t="str"/>
    </x:row>
    <x:row r="23" ht="64" customHeight="1">
      <x:c r="A23" s="36" t="str">
        <x:v>STD022</x:v>
      </x:c>
      <x:c r="B23" s="36" t="str">
        <x:v>太阴</x:v>
      </x:c>
      <x:c r="C23" s="36" t="str">
        <x:v>standard</x:v>
      </x:c>
      <x:c r="D23" s="36" t="str">
        <x:v>桂枝加大黄汤</x:v>
      </x:c>
      <x:c r="E23" s="38" t="str">
        <x:v>外感期间误用泻下法后，逐渐出现腹部胀满、硬实而持续剧痛，按压时疼痛明显加重；现无明显恶寒头痛。</x:v>
      </x:c>
      <x:c r="F23" s="38" t="str">
        <x:v>误下后腹满大实痛，非腹满时痛</x:v>
      </x:c>
      <x:c r="G23" s="38" t="str">
        <x:v>279</x:v>
      </x:c>
      <x:c r="H23" s="38" t="str">
        <x:v>diff_v12_032</x:v>
      </x:c>
      <x:c r="I23" s="36" t="str">
        <x:v>SC023</x:v>
      </x:c>
      <x:c r="J23" s="42" t="str">
        <x:v>优化</x:v>
      </x:c>
      <x:c r="K23" s="36" t="str">
        <x:v>待中医专家盲审</x:v>
      </x:c>
      <x:c r="L23" s="38" t="str">
        <x:v>突出第279条“腹满大实痛”，与桂枝加芍药汤鉴别</x:v>
      </x:c>
      <x:c r="M23" s="38" t="str">
        <x:v>1.2:clause_279,1.2:diff_v12_032,1.2:formula_0055</x:v>
      </x:c>
      <x:c r="N23" s="38" t="str"/>
    </x:row>
    <x:row r="24" ht="64" customHeight="1">
      <x:c r="A24" s="36" t="str">
        <x:v>STD023</x:v>
      </x:c>
      <x:c r="B24" s="36" t="str">
        <x:v>太阴</x:v>
      </x:c>
      <x:c r="C24" s="36" t="str">
        <x:v>standard</x:v>
      </x:c>
      <x:c r="D24" s="36" t="str">
        <x:v>桂枝加芍药汤</x:v>
      </x:c>
      <x:c r="E24" s="38" t="str">
        <x:v>受凉发病后被误用泻下药，原先头项不适已经缓解，随后腹部胀满，腹痛阵发、时轻时重，不属持续剧烈的硬实痛，脉缓。</x:v>
      </x:c>
      <x:c r="F24" s="38" t="str">
        <x:v>误下后的腹满时痛、无大实痛</x:v>
      </x:c>
      <x:c r="G24" s="38" t="str">
        <x:v>279</x:v>
      </x:c>
      <x:c r="H24" s="38" t="str">
        <x:v>diff_v12_032</x:v>
      </x:c>
      <x:c r="I24" s="36" t="str">
        <x:v>—</x:v>
      </x:c>
      <x:c r="J24" s="44" t="str">
        <x:v>新增</x:v>
      </x:c>
      <x:c r="K24" s="36" t="str">
        <x:v>待中医专家盲审</x:v>
      </x:c>
      <x:c r="L24" s="38" t="str">
        <x:v>第279条第一个方证的独立语言变形，不强造其他太阴方证</x:v>
      </x:c>
      <x:c r="M24" s="38" t="str">
        <x:v>1.2:clause_279,1.2:diff_v12_032,1.2:formula_0057</x:v>
      </x:c>
      <x:c r="N24" s="38" t="str"/>
    </x:row>
    <x:row r="25" ht="64" customHeight="1">
      <x:c r="A25" s="36" t="str">
        <x:v>STD024</x:v>
      </x:c>
      <x:c r="B25" s="36" t="str">
        <x:v>太阴</x:v>
      </x:c>
      <x:c r="C25" s="36" t="str">
        <x:v>standard</x:v>
      </x:c>
      <x:c r="D25" s="36" t="str">
        <x:v>桂枝加大黄汤</x:v>
      </x:c>
      <x:c r="E25" s="38" t="str">
        <x:v>前几日外感后服用了泻下药，继而持续腹部满闷且痛势较重，按腹明显加剧，自觉腹中有结实感，大便排出不畅。</x:v>
      </x:c>
      <x:c r="F25" s="38" t="str">
        <x:v>误下后腹满、大实痛并有实滞线索</x:v>
      </x:c>
      <x:c r="G25" s="38" t="str">
        <x:v>279</x:v>
      </x:c>
      <x:c r="H25" s="38" t="str">
        <x:v>diff_v12_032</x:v>
      </x:c>
      <x:c r="I25" s="36" t="str">
        <x:v>—</x:v>
      </x:c>
      <x:c r="J25" s="44" t="str">
        <x:v>新增</x:v>
      </x:c>
      <x:c r="K25" s="36" t="str">
        <x:v>待中医专家盲审</x:v>
      </x:c>
      <x:c r="L25" s="38" t="str">
        <x:v>第279条第二方证的独立语言变形，不与单纯时痛混淆</x:v>
      </x:c>
      <x:c r="M25" s="38" t="str">
        <x:v>1.2:clause_279,1.2:diff_v12_032,1.2:formula_0055</x:v>
      </x:c>
      <x:c r="N25" s="38" t="str"/>
    </x:row>
    <x:row r="26" ht="64" customHeight="1">
      <x:c r="A26" s="36" t="str">
        <x:v>STD025</x:v>
      </x:c>
      <x:c r="B26" s="36" t="str">
        <x:v>少阴</x:v>
      </x:c>
      <x:c r="C26" s="36" t="str">
        <x:v>standard</x:v>
      </x:c>
      <x:c r="D26" s="36" t="str">
        <x:v>麻黄细辛附子汤</x:v>
      </x:c>
      <x:c r="E26" s="38" t="str">
        <x:v>起病不久便发热、恶寒，却很疲乏想卧，切脉沉而不浮，头项强痛和脉浮紧并不突出。</x:v>
      </x:c>
      <x:c r="F26" s="38" t="str">
        <x:v>始得反发热、脉沉、但欲寐</x:v>
      </x:c>
      <x:c r="G26" s="38" t="str">
        <x:v>301</x:v>
      </x:c>
      <x:c r="H26" s="38" t="str">
        <x:v>diff_v12_045</x:v>
      </x:c>
      <x:c r="I26" s="36" t="str">
        <x:v>SC025</x:v>
      </x:c>
      <x:c r="J26" s="42" t="str">
        <x:v>优化</x:v>
      </x:c>
      <x:c r="K26" s="36" t="str">
        <x:v>待中医专家盲审</x:v>
      </x:c>
      <x:c r="L26" s="38" t="str">
        <x:v>补充少阴体征，突出第301条太少两感与太阳表实鉴别</x:v>
      </x:c>
      <x:c r="M26" s="38" t="str">
        <x:v>1.2:clause_301,1.2:diff_v12_045,1.2:formula_0121</x:v>
      </x:c>
      <x:c r="N26" s="38" t="str"/>
    </x:row>
    <x:row r="27" ht="64" customHeight="1">
      <x:c r="A27" s="36" t="str">
        <x:v>STD026</x:v>
      </x:c>
      <x:c r="B27" s="36" t="str">
        <x:v>少阴</x:v>
      </x:c>
      <x:c r="C27" s="36" t="str">
        <x:v>standard</x:v>
      </x:c>
      <x:c r="D27" s="36" t="str">
        <x:v>黄连阿胶汤</x:v>
      </x:c>
      <x:c r="E27" s="38" t="str">
        <x:v>已病三天，心中烦躁，夜里辗转不能睡，伴口干，脉细，不见明显腹满便秘。</x:v>
      </x:c>
      <x:c r="F27" s="38" t="str">
        <x:v>心烦不得卧、少阴热化相关</x:v>
      </x:c>
      <x:c r="G27" s="38" t="str">
        <x:v>303</x:v>
      </x:c>
      <x:c r="H27" s="38" t="str">
        <x:v>diff_v12_042</x:v>
      </x:c>
      <x:c r="I27" s="36" t="str">
        <x:v>SC026</x:v>
      </x:c>
      <x:c r="J27" s="40" t="str">
        <x:v>保留</x:v>
      </x:c>
      <x:c r="K27" s="36" t="str">
        <x:v>待中医专家盲审</x:v>
      </x:c>
      <x:c r="L27" s="38" t="str">
        <x:v>第303条心中烦不得卧，暂无重腹满燥结表现</x:v>
      </x:c>
      <x:c r="M27" s="38" t="str">
        <x:v>1.2:clause_303,1.2:diff_v12_042,1.2:formula_0128</x:v>
      </x:c>
      <x:c r="N27" s="38" t="str"/>
    </x:row>
    <x:row r="28" ht="64" customHeight="1">
      <x:c r="A28" s="36" t="str">
        <x:v>STD027</x:v>
      </x:c>
      <x:c r="B28" s="36" t="str">
        <x:v>少阴</x:v>
      </x:c>
      <x:c r="C28" s="36" t="str">
        <x:v>standard</x:v>
      </x:c>
      <x:c r="D28" s="36" t="str">
        <x:v>附子汤</x:v>
      </x:c>
      <x:c r="E28" s="38" t="str">
        <x:v>发病一两天，口中不渴，背部明显怕冷，身体困重、骨节酸痛，手足偏凉，脉沉。</x:v>
      </x:c>
      <x:c r="F28" s="38" t="str">
        <x:v>背恶寒、口中和、身痛、脉沉</x:v>
      </x:c>
      <x:c r="G28" s="38" t="str">
        <x:v>304</x:v>
      </x:c>
      <x:c r="H28" s="38" t="str">
        <x:v>diff_v12_039</x:v>
      </x:c>
      <x:c r="I28" s="36" t="str">
        <x:v>SC027</x:v>
      </x:c>
      <x:c r="J28" s="42" t="str">
        <x:v>优化</x:v>
      </x:c>
      <x:c r="K28" s="36" t="str">
        <x:v>待中医专家盲审</x:v>
      </x:c>
      <x:c r="L28" s="38" t="str">
        <x:v>结合第304/305条补足少阴寒化依据，区别普通太阳表证</x:v>
      </x:c>
      <x:c r="M28" s="38" t="str">
        <x:v>1.2:clause_304,1.2:diff_v12_039,1.2:formula_0115</x:v>
      </x:c>
      <x:c r="N28" s="38" t="str"/>
    </x:row>
    <x:row r="29" ht="64" customHeight="1">
      <x:c r="A29" s="36" t="str">
        <x:v>STD028</x:v>
      </x:c>
      <x:c r="B29" s="36" t="str">
        <x:v>少阴</x:v>
      </x:c>
      <x:c r="C29" s="36" t="str">
        <x:v>standard</x:v>
      </x:c>
      <x:c r="D29" s="36" t="str">
        <x:v>桃花汤</x:v>
      </x:c>
      <x:c r="E29" s="38" t="str">
        <x:v>下利已经多日，次数较多且难以控制，便中夹少量脓血，腹部冷痛而喜温，口不渴，神疲乏力，脉沉细。</x:v>
      </x:c>
      <x:c r="F29" s="38" t="str">
        <x:v>久利兼脓血、虚寒滑脱、喜温不渴</x:v>
      </x:c>
      <x:c r="G29" s="38" t="str">
        <x:v>306</x:v>
      </x:c>
      <x:c r="H29" s="38" t="str">
        <x:v>diff_v12_041</x:v>
      </x:c>
      <x:c r="I29" s="36" t="str">
        <x:v>SC028</x:v>
      </x:c>
      <x:c r="J29" s="42" t="str">
        <x:v>优化</x:v>
      </x:c>
      <x:c r="K29" s="36" t="str">
        <x:v>待中医专家盲审</x:v>
      </x:c>
      <x:c r="L29" s="38" t="str">
        <x:v>补足第306条少阴虚寒特征，减少与厥阴白头翁热利的混淆</x:v>
      </x:c>
      <x:c r="M29" s="38" t="str">
        <x:v>1.2:clause_306,1.2:diff_v12_041,1.2:formula_0072</x:v>
      </x:c>
      <x:c r="N29" s="38" t="str"/>
    </x:row>
    <x:row r="30" ht="64" customHeight="1">
      <x:c r="A30" s="36" t="str">
        <x:v>STD029</x:v>
      </x:c>
      <x:c r="B30" s="36" t="str">
        <x:v>少阴</x:v>
      </x:c>
      <x:c r="C30" s="36" t="str">
        <x:v>standard</x:v>
      </x:c>
      <x:c r="D30" s="36" t="str">
        <x:v>真武汤</x:v>
      </x:c>
      <x:c r="E30" s="38" t="str">
        <x:v>腹痛、肠鸣腹泻，尿少，手足沉重疼痛，身体发沉，略有头眩。</x:v>
      </x:c>
      <x:c r="F30" s="38" t="str">
        <x:v>腹痛下利、尿少、肢重痛，少阴水气</x:v>
      </x:c>
      <x:c r="G30" s="38" t="str">
        <x:v>316</x:v>
      </x:c>
      <x:c r="H30" s="38" t="str">
        <x:v>diff_v12_038</x:v>
      </x:c>
      <x:c r="I30" s="36" t="str">
        <x:v>SC029</x:v>
      </x:c>
      <x:c r="J30" s="40" t="str">
        <x:v>保留</x:v>
      </x:c>
      <x:c r="K30" s="36" t="str">
        <x:v>待中医专家盲审</x:v>
      </x:c>
      <x:c r="L30" s="38" t="str">
        <x:v>第316条少阴水气组合已有多条辨别维度</x:v>
      </x:c>
      <x:c r="M30" s="38" t="str">
        <x:v>1.2:clause_316,1.2:diff_v12_038,1.2:formula_0094</x:v>
      </x:c>
      <x:c r="N30" s="38" t="str"/>
    </x:row>
    <x:row r="31" ht="64" customHeight="1">
      <x:c r="A31" s="36" t="str">
        <x:v>STD030</x:v>
      </x:c>
      <x:c r="B31" s="36" t="str">
        <x:v>少阴</x:v>
      </x:c>
      <x:c r="C31" s="36" t="str">
        <x:v>standard</x:v>
      </x:c>
      <x:c r="D31" s="36" t="str">
        <x:v>四逆汤</x:v>
      </x:c>
      <x:c r="E31" s="38" t="str">
        <x:v>畏寒蜷卧，四肢发凉，下利清稀，脉沉微，人极疲乏。</x:v>
      </x:c>
      <x:c r="F31" s="38" t="str">
        <x:v>寒厥、下利清谷、脉沉微</x:v>
      </x:c>
      <x:c r="G31" s="38" t="str">
        <x:v>323</x:v>
      </x:c>
      <x:c r="H31" s="38" t="str">
        <x:v>diff_v12_037</x:v>
      </x:c>
      <x:c r="I31" s="36" t="str">
        <x:v>SC030</x:v>
      </x:c>
      <x:c r="J31" s="40" t="str">
        <x:v>保留</x:v>
      </x:c>
      <x:c r="K31" s="36" t="str">
        <x:v>待中医专家盲审</x:v>
      </x:c>
      <x:c r="L31" s="38" t="str">
        <x:v>四逆汤寒化核心症状明确</x:v>
      </x:c>
      <x:c r="M31" s="38" t="str">
        <x:v>1.2:clause_323,1.2:diff_v12_037,1.2:formula_0015</x:v>
      </x:c>
      <x:c r="N31" s="38" t="str"/>
    </x:row>
    <x:row r="32" ht="64" customHeight="1">
      <x:c r="A32" s="36" t="str">
        <x:v>STD031</x:v>
      </x:c>
      <x:c r="B32" s="36" t="str">
        <x:v>厥阴</x:v>
      </x:c>
      <x:c r="C32" s="36" t="str">
        <x:v>standard</x:v>
      </x:c>
      <x:c r="D32" s="36" t="str">
        <x:v>乌梅丸</x:v>
      </x:c>
      <x:c r="E32" s="38" t="str">
        <x:v>近来手足时冷，时有烦躁但过一会儿能安静，曾有呕出蛔虫的情况，进食后又易恶心呕吐，同时久利不止。</x:v>
      </x:c>
      <x:c r="F32" s="38" t="str">
        <x:v>吐蛔、时烦时止、得食而呕、久利</x:v>
      </x:c>
      <x:c r="G32" s="38" t="str">
        <x:v>338</x:v>
      </x:c>
      <x:c r="H32" s="38" t="str">
        <x:v>diff_v12_049</x:v>
      </x:c>
      <x:c r="I32" s="36" t="str">
        <x:v>SC033</x:v>
      </x:c>
      <x:c r="J32" s="42" t="str">
        <x:v>优化</x:v>
      </x:c>
      <x:c r="K32" s="36" t="str">
        <x:v>待中医专家盲审</x:v>
      </x:c>
      <x:c r="L32" s="38" t="str">
        <x:v>第338条蛔厥信息足够；较原稿“偶见蛔虫病史”更明确</x:v>
      </x:c>
      <x:c r="M32" s="38" t="str">
        <x:v>1.2:clause_338,1.2:diff_v12_049,1.2:formula_0003</x:v>
      </x:c>
      <x:c r="N32" s="38" t="str"/>
    </x:row>
    <x:row r="33" ht="64" customHeight="1">
      <x:c r="A33" s="36" t="str">
        <x:v>STD032</x:v>
      </x:c>
      <x:c r="B33" s="36" t="str">
        <x:v>厥阴</x:v>
      </x:c>
      <x:c r="C33" s="36" t="str">
        <x:v>standard</x:v>
      </x:c>
      <x:c r="D33" s="36" t="str">
        <x:v>白头翁汤</x:v>
      </x:c>
      <x:c r="E33" s="38" t="str">
        <x:v>腹泻急迫、肛门灼热而有明显下坠感，便后仍有便意，粪便夹黏液，伴口渴欲饮和身热。</x:v>
      </x:c>
      <x:c r="F33" s="38" t="str">
        <x:v>热利下重、欲饮水、肛门灼热</x:v>
      </x:c>
      <x:c r="G33" s="38" t="str">
        <x:v>371,373</x:v>
      </x:c>
      <x:c r="H33" s="38" t="str">
        <x:v>diff_v12_041</x:v>
      </x:c>
      <x:c r="I33" s="36" t="str">
        <x:v>SC034</x:v>
      </x:c>
      <x:c r="J33" s="42" t="str">
        <x:v>优化</x:v>
      </x:c>
      <x:c r="K33" s="36" t="str">
        <x:v>待中医专家盲审</x:v>
      </x:c>
      <x:c r="L33" s="38" t="str">
        <x:v>第371/373条热利下重和渴饮完整，区别桃花汤虚寒下利</x:v>
      </x:c>
      <x:c r="M33" s="38" t="str">
        <x:v>1.2:clause_371,1.2:clause_373,1.2:diff_v12_041,1.2:formula_0089</x:v>
      </x:c>
      <x:c r="N33" s="38" t="str"/>
    </x:row>
    <x:row r="34" ht="64" customHeight="1">
      <x:c r="A34" s="36" t="str">
        <x:v>STD033</x:v>
      </x:c>
      <x:c r="B34" s="36" t="str">
        <x:v>厥阴</x:v>
      </x:c>
      <x:c r="C34" s="36" t="str">
        <x:v>standard</x:v>
      </x:c>
      <x:c r="D34" s="36" t="str">
        <x:v>当归四逆汤</x:v>
      </x:c>
      <x:c r="E34" s="38" t="str">
        <x:v>近来手脚一直冰冷且指端疼凉，脉细到几乎摸不到，面色偏淡，精神尚可，未见持续的下利清谷。</x:v>
      </x:c>
      <x:c r="F34" s="38" t="str">
        <x:v>手足厥寒、脉细欲绝而无明显亡阳下利</x:v>
      </x:c>
      <x:c r="G34" s="38" t="str">
        <x:v>351</x:v>
      </x:c>
      <x:c r="H34" s="38" t="str">
        <x:v>diff_v12_048</x:v>
      </x:c>
      <x:c r="I34" s="36" t="str">
        <x:v>SC035</x:v>
      </x:c>
      <x:c r="J34" s="42" t="str">
        <x:v>优化</x:v>
      </x:c>
      <x:c r="K34" s="36" t="str">
        <x:v>待中医专家盲审</x:v>
      </x:c>
      <x:c r="L34" s="38" t="str">
        <x:v>第351条核心特征明确，避免误归四逆汤亡阳危重证</x:v>
      </x:c>
      <x:c r="M34" s="38" t="str">
        <x:v>1.2:clause_351,1.2:diff_v12_048,1.2:formula_0036</x:v>
      </x:c>
      <x:c r="N34" s="38" t="str"/>
    </x:row>
    <x:row r="35" ht="64" customHeight="1">
      <x:c r="A35" s="36" t="str">
        <x:v>STD034</x:v>
      </x:c>
      <x:c r="B35" s="36" t="str">
        <x:v>厥阴</x:v>
      </x:c>
      <x:c r="C35" s="36" t="str">
        <x:v>standard</x:v>
      </x:c>
      <x:c r="D35" s="36" t="str">
        <x:v>当归四逆加吴茱萸生姜汤</x:v>
      </x:c>
      <x:c r="E35" s="38" t="str">
        <x:v>多年来腹中怕冷、遇寒容易隐痛，近日手足厥冷而疼痛，脉细微，胃腹旧寒症状明显，冷饮后更不舒适。</x:v>
      </x:c>
      <x:c r="F35" s="38" t="str">
        <x:v>当归四逆汤基础脉证兼久寒在内</x:v>
      </x:c>
      <x:c r="G35" s="38" t="str">
        <x:v>351,352</x:v>
      </x:c>
      <x:c r="H35" s="38" t="str">
        <x:v>diff_v12_048</x:v>
      </x:c>
      <x:c r="I35" s="36" t="str">
        <x:v>—</x:v>
      </x:c>
      <x:c r="J35" s="44" t="str">
        <x:v>新增</x:v>
      </x:c>
      <x:c r="K35" s="36" t="str">
        <x:v>待中医专家盲审</x:v>
      </x:c>
      <x:c r="L35" s="38" t="str">
        <x:v>第352条明确“内有久寒”方证，需连同第351条理解</x:v>
      </x:c>
      <x:c r="M35" s="38" t="str">
        <x:v>1.2:clause_351,1.2:clause_352,1.2:diff_v12_048,1.2:formula_0035</x:v>
      </x:c>
      <x:c r="N35" s="38" t="str"/>
    </x:row>
    <x:row r="36" ht="64" customHeight="1">
      <x:c r="A36" s="36" t="str">
        <x:v>STD035</x:v>
      </x:c>
      <x:c r="B36" s="36" t="str">
        <x:v>厥阴</x:v>
      </x:c>
      <x:c r="C36" s="36" t="str">
        <x:v>standard</x:v>
      </x:c>
      <x:c r="D36" s="36" t="str">
        <x:v>干姜黄芩黄连人参汤</x:v>
      </x:c>
      <x:c r="E36" s="38" t="str">
        <x:v>原本就常腹部怕冷而腹泻，外感后又被催吐和泻下，随后吐泻加重，现吃东西刚入口就吐出，腹中冷痛，心中烦热。</x:v>
      </x:c>
      <x:c r="F36" s="38" t="str">
        <x:v>本自寒下、误吐下、食入口即吐</x:v>
      </x:c>
      <x:c r="G36" s="38" t="str">
        <x:v>359</x:v>
      </x:c>
      <x:c r="H36" s="38" t="str"/>
      <x:c r="I36" s="36" t="str">
        <x:v>—</x:v>
      </x:c>
      <x:c r="J36" s="44" t="str">
        <x:v>新增</x:v>
      </x:c>
      <x:c r="K36" s="36" t="str">
        <x:v>待中医专家盲审</x:v>
      </x:c>
      <x:c r="L36" s="38" t="str">
        <x:v>第359条对应方证，语义同时保留既往寒下及当前格拒呕吐</x:v>
      </x:c>
      <x:c r="M36" s="38" t="str">
        <x:v>1.2:clause_359,1.2:formula_0034</x:v>
      </x:c>
      <x:c r="N36" s="38" t="str"/>
    </x:row>
    <x:row r="37" ht="64" customHeight="1">
      <x:c r="A37" s="36" t="str">
        <x:v>STD036</x:v>
      </x:c>
      <x:c r="B37" s="36" t="str">
        <x:v>厥阴</x:v>
      </x:c>
      <x:c r="C37" s="36" t="str">
        <x:v>standard</x:v>
      </x:c>
      <x:c r="D37" s="36" t="str">
        <x:v>吴茱萸汤</x:v>
      </x:c>
      <x:c r="E37" s="38" t="str">
        <x:v>反复干呕，吐出不少清稀涎沫，头痛明显，同时胃脘怕冷、受凉后易加重，舌淡苔白，脉沉。</x:v>
      </x:c>
      <x:c r="F37" s="38" t="str">
        <x:v>干呕吐涎沫、头痛，兼胃寒线索</x:v>
      </x:c>
      <x:c r="G37" s="38" t="str">
        <x:v>378</x:v>
      </x:c>
      <x:c r="H37" s="38" t="str">
        <x:v>diff_v12_024</x:v>
      </x:c>
      <x:c r="I37" s="36" t="str">
        <x:v>—</x:v>
      </x:c>
      <x:c r="J37" s="44" t="str">
        <x:v>新增</x:v>
      </x:c>
      <x:c r="K37" s="36" t="str">
        <x:v>待中医专家盲审</x:v>
      </x:c>
      <x:c r="L37" s="38" t="str">
        <x:v>第378条明确吴茱萸汤；注意本方跨三经，厥阴标签据第378条情境，待专家复核</x:v>
      </x:c>
      <x:c r="M37" s="38" t="str">
        <x:v>1.2:clause_378,1.2:diff_v12_024,1.2:formula_0012</x:v>
      </x:c>
      <x:c r="N37" s="46" t="str">
        <x:v>本方跨章节；需核实单经标签</x:v>
      </x:c>
    </x:row>
  </x:sheetData>
  <x:dataValidations count="2">
    <x:dataValidation type="list" sqref="J2:J37">
      <x:formula1>"保留,优化,新增"</x:formula1>
    </x:dataValidation>
    <x:dataValidation type="list" sqref="K2:K37">
      <x:formula1>"待中医专家盲审,专家审核通过,需要修改,专家审核不通过"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85edb8da84d8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21" hidden="0" customWidth="1"/>
    <x:col min="5" max="5" width="29" hidden="0" customWidth="1"/>
    <x:col min="6" max="6" width="17" hidden="0" customWidth="1"/>
    <x:col min="7" max="7" width="19" hidden="0" customWidth="1"/>
    <x:col min="8" max="8" width="39" hidden="0" customWidth="1"/>
    <x:col min="9" max="9" width="76" hidden="0" customWidth="1"/>
  </x:cols>
  <x:sheetData>
    <x:row r="1" ht="32" customHeight="1">
      <x:c r="A1" s="15" t="str">
        <x:v>原编号</x:v>
      </x:c>
      <x:c r="B1" s="15" t="str">
        <x:v>原类别</x:v>
      </x:c>
      <x:c r="C1" s="15" t="str">
        <x:v>原难度</x:v>
      </x:c>
      <x:c r="D1" s="15" t="str">
        <x:v>原六经参考</x:v>
      </x:c>
      <x:c r="E1" s="15" t="str">
        <x:v>原方证参考</x:v>
      </x:c>
      <x:c r="F1" s="15" t="str">
        <x:v>研发预审决定</x:v>
      </x:c>
      <x:c r="G1" s="15" t="str">
        <x:v>对应新编号</x:v>
      </x:c>
      <x:c r="H1" s="15" t="str">
        <x:v>需审核的问题</x:v>
      </x:c>
      <x:c r="I1" s="15" t="str">
        <x:v>保留/修改/排除理由</x:v>
      </x:c>
    </x:row>
    <x:row r="2" ht="42" customHeight="1">
      <x:c r="A2" s="36" t="str">
        <x:v>SC001</x:v>
      </x:c>
      <x:c r="B2" s="36" t="str">
        <x:v>太阳</x:v>
      </x:c>
      <x:c r="C2" s="36" t="str">
        <x:v>standard</x:v>
      </x:c>
      <x:c r="D2" s="36" t="str">
        <x:v>太阳</x:v>
      </x:c>
      <x:c r="E2" s="36" t="str">
        <x:v>桂枝汤</x:v>
      </x:c>
      <x:c r="F2" s="36" t="str">
        <x:v>保留</x:v>
      </x:c>
      <x:c r="G2" s="36" t="str">
        <x:v>STD001</x:v>
      </x:c>
      <x:c r="H2" s="38" t="str">
        <x:v>条文与主症基本对应</x:v>
      </x:c>
      <x:c r="I2" s="38" t="str">
        <x:v>核心表现充分，来源第2/12/13条对应</x:v>
      </x:c>
    </x:row>
    <x:row r="3" ht="42" customHeight="1">
      <x:c r="A3" s="36" t="str">
        <x:v>SC002</x:v>
      </x:c>
      <x:c r="B3" s="36" t="str">
        <x:v>太阳</x:v>
      </x:c>
      <x:c r="C3" s="36" t="str">
        <x:v>standard</x:v>
      </x:c>
      <x:c r="D3" s="36" t="str">
        <x:v>太阳</x:v>
      </x:c>
      <x:c r="E3" s="36" t="str">
        <x:v>麻黄汤</x:v>
      </x:c>
      <x:c r="F3" s="36" t="str">
        <x:v>保留</x:v>
      </x:c>
      <x:c r="G3" s="36" t="str">
        <x:v>STD002</x:v>
      </x:c>
      <x:c r="H3" s="38" t="str">
        <x:v>条文与主症基本对应</x:v>
      </x:c>
      <x:c r="I3" s="38" t="str">
        <x:v>第35条表实脉证组合明确</x:v>
      </x:c>
    </x:row>
    <x:row r="4" ht="42" customHeight="1">
      <x:c r="A4" s="36" t="str">
        <x:v>SC003</x:v>
      </x:c>
      <x:c r="B4" s="36" t="str">
        <x:v>太阳</x:v>
      </x:c>
      <x:c r="C4" s="36" t="str">
        <x:v>standard</x:v>
      </x:c>
      <x:c r="D4" s="36" t="str">
        <x:v>太阳</x:v>
      </x:c>
      <x:c r="E4" s="36" t="str">
        <x:v>葛根汤</x:v>
      </x:c>
      <x:c r="F4" s="36" t="str">
        <x:v>保留</x:v>
      </x:c>
      <x:c r="G4" s="36" t="str">
        <x:v>STD003</x:v>
      </x:c>
      <x:c r="H4" s="38" t="str">
        <x:v>条文与主症基本对应</x:v>
      </x:c>
      <x:c r="I4" s="38" t="str">
        <x:v>第31条葛根汤脉证完整；发热非必填条件</x:v>
      </x:c>
    </x:row>
    <x:row r="5" ht="42" customHeight="1">
      <x:c r="A5" s="36" t="str">
        <x:v>SC004</x:v>
      </x:c>
      <x:c r="B5" s="36" t="str">
        <x:v>太阳</x:v>
      </x:c>
      <x:c r="C5" s="36" t="str">
        <x:v>standard</x:v>
      </x:c>
      <x:c r="D5" s="36" t="str">
        <x:v>太阳</x:v>
      </x:c>
      <x:c r="E5" s="36" t="str">
        <x:v>大青龙汤</x:v>
      </x:c>
      <x:c r="F5" s="36" t="str">
        <x:v>保留</x:v>
      </x:c>
      <x:c r="G5" s="36" t="str">
        <x:v>STD004</x:v>
      </x:c>
      <x:c r="H5" s="38" t="str">
        <x:v>条文与主症基本对应</x:v>
      </x:c>
      <x:c r="I5" s="38" t="str">
        <x:v>第38条不汗出而烦躁表现明确</x:v>
      </x:c>
    </x:row>
    <x:row r="6" ht="42" customHeight="1">
      <x:c r="A6" s="36" t="str">
        <x:v>SC005</x:v>
      </x:c>
      <x:c r="B6" s="36" t="str">
        <x:v>太阳</x:v>
      </x:c>
      <x:c r="C6" s="36" t="str">
        <x:v>standard</x:v>
      </x:c>
      <x:c r="D6" s="36" t="str">
        <x:v>太阳</x:v>
      </x:c>
      <x:c r="E6" s="36" t="str">
        <x:v>小青龙汤</x:v>
      </x:c>
      <x:c r="F6" s="36" t="str">
        <x:v>优化</x:v>
      </x:c>
      <x:c r="G6" s="36" t="str">
        <x:v>STD005</x:v>
      </x:c>
      <x:c r="H6" s="38" t="str">
        <x:v>需补足鉴别证据或方证标签</x:v>
      </x:c>
      <x:c r="I6" s="38" t="str">
        <x:v>补足表寒无汗、浮紧脉和痰饮形态，使第40条方证更可鉴别</x:v>
      </x:c>
    </x:row>
    <x:row r="7" ht="42" customHeight="1">
      <x:c r="A7" s="36" t="str">
        <x:v>SC006</x:v>
      </x:c>
      <x:c r="B7" s="36" t="str">
        <x:v>太阳</x:v>
      </x:c>
      <x:c r="C7" s="36" t="str">
        <x:v>standard</x:v>
      </x:c>
      <x:c r="D7" s="36" t="str">
        <x:v>太阳</x:v>
      </x:c>
      <x:c r="E7" s="36" t="str">
        <x:v>五苓散</x:v>
      </x:c>
      <x:c r="F7" s="36" t="str">
        <x:v>保留</x:v>
      </x:c>
      <x:c r="G7" s="36" t="str">
        <x:v>STD006</x:v>
      </x:c>
      <x:c r="H7" s="38" t="str">
        <x:v>条文与主症基本对应</x:v>
      </x:c>
      <x:c r="I7" s="38" t="str">
        <x:v>第71/74条水饮不化核心组合明确</x:v>
      </x:c>
    </x:row>
    <x:row r="8" ht="42" customHeight="1">
      <x:c r="A8" s="36" t="str">
        <x:v>SC007</x:v>
      </x:c>
      <x:c r="B8" s="36" t="str">
        <x:v>太阳</x:v>
      </x:c>
      <x:c r="C8" s="36" t="str">
        <x:v>standard</x:v>
      </x:c>
      <x:c r="D8" s="36" t="str">
        <x:v>太阳</x:v>
      </x:c>
      <x:c r="E8" s="36" t="str">
        <x:v>葛根黄芩黄连汤</x:v>
      </x:c>
      <x:c r="F8" s="36" t="str">
        <x:v>排除</x:v>
      </x:c>
      <x:c r="G8" s="36" t="str"/>
      <x:c r="H8" s="38" t="str">
        <x:v>类别配额与方证分布</x:v>
      </x:c>
      <x:c r="I8" s="38" t="str">
        <x:v>当前六经类别已取足6例，按覆盖平衡与区分度排除；不表示该案例必然医学错误。</x:v>
      </x:c>
    </x:row>
    <x:row r="9" ht="42" customHeight="1">
      <x:c r="A9" s="36" t="str">
        <x:v>SC008</x:v>
      </x:c>
      <x:c r="B9" s="36" t="str">
        <x:v>太阳</x:v>
      </x:c>
      <x:c r="C9" s="36" t="str">
        <x:v>standard</x:v>
      </x:c>
      <x:c r="D9" s="36" t="str">
        <x:v>太阳</x:v>
      </x:c>
      <x:c r="E9" s="36" t="str">
        <x:v>小陷胸汤</x:v>
      </x:c>
      <x:c r="F9" s="36" t="str">
        <x:v>排除</x:v>
      </x:c>
      <x:c r="G9" s="36" t="str"/>
      <x:c r="H9" s="38" t="str">
        <x:v>类别配额与方证分布</x:v>
      </x:c>
      <x:c r="I9" s="38" t="str">
        <x:v>当前六经类别已取足6例，按覆盖平衡与区分度排除；不表示该案例必然医学错误。</x:v>
      </x:c>
    </x:row>
    <x:row r="10" ht="42" customHeight="1">
      <x:c r="A10" s="36" t="str">
        <x:v>SC009</x:v>
      </x:c>
      <x:c r="B10" s="36" t="str">
        <x:v>阳明</x:v>
      </x:c>
      <x:c r="C10" s="36" t="str">
        <x:v>standard</x:v>
      </x:c>
      <x:c r="D10" s="36" t="str">
        <x:v>阳明</x:v>
      </x:c>
      <x:c r="E10" s="36" t="str"/>
      <x:c r="F10" s="36" t="str">
        <x:v>排除</x:v>
      </x:c>
      <x:c r="G10" s="36" t="str"/>
      <x:c r="H10" s="38" t="str">
        <x:v>仅六经参考、缺少具体方证</x:v>
      </x:c>
      <x:c r="I10" s="38" t="str">
        <x:v>不足以直接填充方名或当前组内已完成另一例的有据改写，不强设唯一方证。</x:v>
      </x:c>
    </x:row>
    <x:row r="11" ht="42" customHeight="1">
      <x:c r="A11" s="36" t="str">
        <x:v>SC010</x:v>
      </x:c>
      <x:c r="B11" s="36" t="str">
        <x:v>阳明</x:v>
      </x:c>
      <x:c r="C11" s="36" t="str">
        <x:v>standard</x:v>
      </x:c>
      <x:c r="D11" s="36" t="str">
        <x:v>阳明</x:v>
      </x:c>
      <x:c r="E11" s="36" t="str">
        <x:v>大承气汤</x:v>
      </x:c>
      <x:c r="F11" s="36" t="str">
        <x:v>优化</x:v>
      </x:c>
      <x:c r="G11" s="36" t="str">
        <x:v>STD007</x:v>
      </x:c>
      <x:c r="H11" s="38" t="str">
        <x:v>需补足鉴别证据或方证标签</x:v>
      </x:c>
      <x:c r="I11" s="38" t="str">
        <x:v>补足大承气汤腹实的程度，与小承气及调胃承气拉开差异</x:v>
      </x:c>
    </x:row>
    <x:row r="12" ht="42" customHeight="1">
      <x:c r="A12" s="36" t="str">
        <x:v>SC011</x:v>
      </x:c>
      <x:c r="B12" s="36" t="str">
        <x:v>阳明</x:v>
      </x:c>
      <x:c r="C12" s="36" t="str">
        <x:v>standard</x:v>
      </x:c>
      <x:c r="D12" s="36" t="str">
        <x:v>阳明</x:v>
      </x:c>
      <x:c r="E12" s="36" t="str">
        <x:v>小承气汤</x:v>
      </x:c>
      <x:c r="F12" s="36" t="str">
        <x:v>优化</x:v>
      </x:c>
      <x:c r="G12" s="36" t="str">
        <x:v>STD008</x:v>
      </x:c>
      <x:c r="H12" s="38" t="str">
        <x:v>需补足鉴别证据或方证标签</x:v>
      </x:c>
      <x:c r="I12" s="38" t="str">
        <x:v>删除容易指向重证的言语错乱，突出小承气汤与大承气汤的程度差异</x:v>
      </x:c>
    </x:row>
    <x:row r="13" ht="42" customHeight="1">
      <x:c r="A13" s="36" t="str">
        <x:v>SC012</x:v>
      </x:c>
      <x:c r="B13" s="36" t="str">
        <x:v>阳明</x:v>
      </x:c>
      <x:c r="C13" s="36" t="str">
        <x:v>standard</x:v>
      </x:c>
      <x:c r="D13" s="36" t="str">
        <x:v>阳明</x:v>
      </x:c>
      <x:c r="E13" s="36" t="str">
        <x:v>调胃承气汤</x:v>
      </x:c>
      <x:c r="F13" s="36" t="str">
        <x:v>优化</x:v>
      </x:c>
      <x:c r="G13" s="36" t="str">
        <x:v>STD009</x:v>
      </x:c>
      <x:c r="H13" s="38" t="str">
        <x:v>需补足鉴别证据或方证标签</x:v>
      </x:c>
      <x:c r="I13" s="38" t="str">
        <x:v>写清治疗后症状现在仍在，减少 time_scope=after_treatment 的误丢风险</x:v>
      </x:c>
    </x:row>
    <x:row r="14" ht="42" customHeight="1">
      <x:c r="A14" s="36" t="str">
        <x:v>SC013</x:v>
      </x:c>
      <x:c r="B14" s="36" t="str">
        <x:v>阳明</x:v>
      </x:c>
      <x:c r="C14" s="36" t="str">
        <x:v>standard</x:v>
      </x:c>
      <x:c r="D14" s="36" t="str">
        <x:v>阳明</x:v>
      </x:c>
      <x:c r="E14" s="36" t="str">
        <x:v>麻子仁丸</x:v>
      </x:c>
      <x:c r="F14" s="36" t="str">
        <x:v>优化</x:v>
      </x:c>
      <x:c r="G14" s="36" t="str">
        <x:v>STD010</x:v>
      </x:c>
      <x:c r="H14" s="38" t="str">
        <x:v>需补足鉴别证据或方证标签</x:v>
      </x:c>
      <x:c r="I14" s="38" t="str">
        <x:v>补足第247条脾约特点，避免泛化为普通便秘</x:v>
      </x:c>
    </x:row>
    <x:row r="15" ht="42" customHeight="1">
      <x:c r="A15" s="36" t="str">
        <x:v>SC014</x:v>
      </x:c>
      <x:c r="B15" s="36" t="str">
        <x:v>阳明</x:v>
      </x:c>
      <x:c r="C15" s="36" t="str">
        <x:v>standard</x:v>
      </x:c>
      <x:c r="D15" s="36" t="str">
        <x:v>阳明</x:v>
      </x:c>
      <x:c r="E15" s="36" t="str">
        <x:v>茵陈蒿汤</x:v>
      </x:c>
      <x:c r="F15" s="36" t="str">
        <x:v>保留</x:v>
      </x:c>
      <x:c r="G15" s="36" t="str">
        <x:v>STD011</x:v>
      </x:c>
      <x:c r="H15" s="38" t="str">
        <x:v>条文与主症基本对应</x:v>
      </x:c>
      <x:c r="I15" s="38" t="str">
        <x:v>第236条黄疸伴小便不利及渴欲饮水，未混入寒湿反证</x:v>
      </x:c>
    </x:row>
    <x:row r="16" ht="42" customHeight="1">
      <x:c r="A16" s="36" t="str">
        <x:v>SC015</x:v>
      </x:c>
      <x:c r="B16" s="36" t="str">
        <x:v>阳明</x:v>
      </x:c>
      <x:c r="C16" s="36" t="str">
        <x:v>standard</x:v>
      </x:c>
      <x:c r="D16" s="36" t="str">
        <x:v>阳明</x:v>
      </x:c>
      <x:c r="E16" s="36" t="str">
        <x:v>猪苓汤</x:v>
      </x:c>
      <x:c r="F16" s="36" t="str">
        <x:v>优化</x:v>
      </x:c>
      <x:c r="G16" s="36" t="str">
        <x:v>STD012</x:v>
      </x:c>
      <x:c r="H16" s="38" t="str">
        <x:v>需补足鉴别证据或方证标签</x:v>
      </x:c>
      <x:c r="I16" s="38" t="str">
        <x:v>补齐第223条浮脉，增加与五苓散、大承气汤的鉴别信息</x:v>
      </x:c>
    </x:row>
    <x:row r="17" ht="42" customHeight="1">
      <x:c r="A17" s="36" t="str">
        <x:v>SC016</x:v>
      </x:c>
      <x:c r="B17" s="36" t="str">
        <x:v>少阳</x:v>
      </x:c>
      <x:c r="C17" s="36" t="str">
        <x:v>standard</x:v>
      </x:c>
      <x:c r="D17" s="36" t="str">
        <x:v>少阳</x:v>
      </x:c>
      <x:c r="E17" s="36" t="str">
        <x:v>小柴胡汤</x:v>
      </x:c>
      <x:c r="F17" s="36" t="str">
        <x:v>保留</x:v>
      </x:c>
      <x:c r="G17" s="36" t="str">
        <x:v>STD013</x:v>
      </x:c>
      <x:c r="H17" s="38" t="str">
        <x:v>条文与主症基本对应</x:v>
      </x:c>
      <x:c r="I17" s="38" t="str">
        <x:v>第96条柴胡证组合典型，不单凭口苦一症</x:v>
      </x:c>
    </x:row>
    <x:row r="18" ht="42" customHeight="1">
      <x:c r="A18" s="36" t="str">
        <x:v>SC017</x:v>
      </x:c>
      <x:c r="B18" s="36" t="str">
        <x:v>少阳</x:v>
      </x:c>
      <x:c r="C18" s="36" t="str">
        <x:v>standard</x:v>
      </x:c>
      <x:c r="D18" s="36" t="str">
        <x:v>少阳</x:v>
      </x:c>
      <x:c r="E18" s="36" t="str"/>
      <x:c r="F18" s="36" t="str">
        <x:v>排除</x:v>
      </x:c>
      <x:c r="G18" s="36" t="str"/>
      <x:c r="H18" s="38" t="str">
        <x:v>仅六经参考、缺少具体方证</x:v>
      </x:c>
      <x:c r="I18" s="38" t="str">
        <x:v>不足以直接填充方名或当前组内已完成另一例的有据改写，不强设唯一方证。</x:v>
      </x:c>
    </x:row>
    <x:row r="19" ht="42" customHeight="1">
      <x:c r="A19" s="36" t="str">
        <x:v>SC018</x:v>
      </x:c>
      <x:c r="B19" s="36" t="str">
        <x:v>少阳</x:v>
      </x:c>
      <x:c r="C19" s="36" t="str">
        <x:v>standard</x:v>
      </x:c>
      <x:c r="D19" s="36" t="str">
        <x:v>少阳</x:v>
      </x:c>
      <x:c r="E19" s="36" t="str">
        <x:v>小柴胡汤</x:v>
      </x:c>
      <x:c r="F19" s="36" t="str">
        <x:v>优化</x:v>
      </x:c>
      <x:c r="G19" s="36" t="str">
        <x:v>STD014</x:v>
      </x:c>
      <x:c r="H19" s="38" t="str">
        <x:v>需补足鉴别证据或方证标签</x:v>
      </x:c>
      <x:c r="I19" s="38" t="str">
        <x:v>保留原例由表转少阳的常见表述，简化时序使之适合标准难度</x:v>
      </x:c>
    </x:row>
    <x:row r="20" ht="42" customHeight="1">
      <x:c r="A20" s="36" t="str">
        <x:v>SC019</x:v>
      </x:c>
      <x:c r="B20" s="36" t="str">
        <x:v>少阳</x:v>
      </x:c>
      <x:c r="C20" s="36" t="str">
        <x:v>standard</x:v>
      </x:c>
      <x:c r="D20" s="36" t="str">
        <x:v>少阳</x:v>
      </x:c>
      <x:c r="E20" s="36" t="str">
        <x:v>大柴胡汤</x:v>
      </x:c>
      <x:c r="F20" s="36" t="str">
        <x:v>优化</x:v>
      </x:c>
      <x:c r="G20" s="36" t="str">
        <x:v>STD015</x:v>
      </x:c>
      <x:c r="H20" s="38" t="str">
        <x:v>需补足鉴别证据或方证标签</x:v>
      </x:c>
      <x:c r="I20" s="38" t="str">
        <x:v>补足第103条决定性表现并排除仅见轻恶心的小柴胡情形</x:v>
      </x:c>
    </x:row>
    <x:row r="21" ht="42" customHeight="1">
      <x:c r="A21" s="36" t="str">
        <x:v>SC020</x:v>
      </x:c>
      <x:c r="B21" s="36" t="str">
        <x:v>太阴</x:v>
      </x:c>
      <x:c r="C21" s="36" t="str">
        <x:v>standard</x:v>
      </x:c>
      <x:c r="D21" s="36" t="str">
        <x:v>太阴</x:v>
      </x:c>
      <x:c r="E21" s="36" t="str"/>
      <x:c r="F21" s="36" t="str">
        <x:v>优化</x:v>
      </x:c>
      <x:c r="G21" s="36" t="str">
        <x:v>STD019</x:v>
      </x:c>
      <x:c r="H21" s="38" t="str">
        <x:v>需补足鉴别证据或方证标签</x:v>
      </x:c>
      <x:c r="I21" s="38" t="str">
        <x:v>原太阴提纲例缺方证；改为与第386条理中丸相符的中焦寒性吐利，同时保留太阴证候依据</x:v>
      </x:c>
    </x:row>
    <x:row r="22" ht="42" customHeight="1">
      <x:c r="A22" s="36" t="str">
        <x:v>SC021</x:v>
      </x:c>
      <x:c r="B22" s="36" t="str">
        <x:v>太阴</x:v>
      </x:c>
      <x:c r="C22" s="36" t="str">
        <x:v>standard</x:v>
      </x:c>
      <x:c r="D22" s="36" t="str">
        <x:v>太阴</x:v>
      </x:c>
      <x:c r="E22" s="36" t="str"/>
      <x:c r="F22" s="36" t="str">
        <x:v>优化</x:v>
      </x:c>
      <x:c r="G22" s="36" t="str">
        <x:v>STD020</x:v>
      </x:c>
      <x:c r="H22" s="38" t="str">
        <x:v>需补足鉴别证据或方证标签</x:v>
      </x:c>
      <x:c r="I22" s="38" t="str">
        <x:v>原无方证；补入第386条理中丸寒多不用水的鉴别主轴，避免指向少阴亡阳</x:v>
      </x:c>
    </x:row>
    <x:row r="23" ht="42" customHeight="1">
      <x:c r="A23" s="36" t="str">
        <x:v>SC022</x:v>
      </x:c>
      <x:c r="B23" s="36" t="str">
        <x:v>太阴</x:v>
      </x:c>
      <x:c r="C23" s="36" t="str">
        <x:v>standard</x:v>
      </x:c>
      <x:c r="D23" s="36" t="str">
        <x:v>太阴</x:v>
      </x:c>
      <x:c r="E23" s="36" t="str">
        <x:v>桂枝加芍药汤</x:v>
      </x:c>
      <x:c r="F23" s="36" t="str">
        <x:v>优化</x:v>
      </x:c>
      <x:c r="G23" s="36" t="str">
        <x:v>STD021</x:v>
      </x:c>
      <x:c r="H23" s="38" t="str">
        <x:v>需补足鉴别证据或方证标签</x:v>
      </x:c>
      <x:c r="I23" s="38" t="str">
        <x:v>去除持续明显表证以保持主要太阴定位，第279条方证明确</x:v>
      </x:c>
    </x:row>
    <x:row r="24" ht="42" customHeight="1">
      <x:c r="A24" s="36" t="str">
        <x:v>SC023</x:v>
      </x:c>
      <x:c r="B24" s="36" t="str">
        <x:v>太阴</x:v>
      </x:c>
      <x:c r="C24" s="36" t="str">
        <x:v>standard</x:v>
      </x:c>
      <x:c r="D24" s="36" t="str">
        <x:v>太阴</x:v>
      </x:c>
      <x:c r="E24" s="36" t="str">
        <x:v>桂枝加大黄汤</x:v>
      </x:c>
      <x:c r="F24" s="36" t="str">
        <x:v>优化</x:v>
      </x:c>
      <x:c r="G24" s="36" t="str">
        <x:v>STD022</x:v>
      </x:c>
      <x:c r="H24" s="38" t="str">
        <x:v>需补足鉴别证据或方证标签</x:v>
      </x:c>
      <x:c r="I24" s="38" t="str">
        <x:v>突出第279条“腹满大实痛”，与桂枝加芍药汤鉴别</x:v>
      </x:c>
    </x:row>
    <x:row r="25" ht="42" customHeight="1">
      <x:c r="A25" s="36" t="str">
        <x:v>SC024</x:v>
      </x:c>
      <x:c r="B25" s="36" t="str">
        <x:v>少阴</x:v>
      </x:c>
      <x:c r="C25" s="36" t="str">
        <x:v>standard</x:v>
      </x:c>
      <x:c r="D25" s="36" t="str">
        <x:v>少阴</x:v>
      </x:c>
      <x:c r="E25" s="36" t="str"/>
      <x:c r="F25" s="36" t="str">
        <x:v>排除</x:v>
      </x:c>
      <x:c r="G25" s="36" t="str"/>
      <x:c r="H25" s="38" t="str">
        <x:v>仅六经参考、缺少具体方证</x:v>
      </x:c>
      <x:c r="I25" s="38" t="str">
        <x:v>不足以直接填充方名或当前组内已完成另一例的有据改写，不强设唯一方证。</x:v>
      </x:c>
    </x:row>
    <x:row r="26" ht="42" customHeight="1">
      <x:c r="A26" s="36" t="str">
        <x:v>SC025</x:v>
      </x:c>
      <x:c r="B26" s="36" t="str">
        <x:v>少阴</x:v>
      </x:c>
      <x:c r="C26" s="36" t="str">
        <x:v>standard</x:v>
      </x:c>
      <x:c r="D26" s="36" t="str">
        <x:v>少阴</x:v>
      </x:c>
      <x:c r="E26" s="36" t="str">
        <x:v>麻黄细辛附子汤</x:v>
      </x:c>
      <x:c r="F26" s="36" t="str">
        <x:v>优化</x:v>
      </x:c>
      <x:c r="G26" s="36" t="str">
        <x:v>STD025</x:v>
      </x:c>
      <x:c r="H26" s="38" t="str">
        <x:v>需补足鉴别证据或方证标签</x:v>
      </x:c>
      <x:c r="I26" s="38" t="str">
        <x:v>补充少阴体征，突出第301条太少两感与太阳表实鉴别</x:v>
      </x:c>
    </x:row>
    <x:row r="27" ht="42" customHeight="1">
      <x:c r="A27" s="36" t="str">
        <x:v>SC026</x:v>
      </x:c>
      <x:c r="B27" s="36" t="str">
        <x:v>少阴</x:v>
      </x:c>
      <x:c r="C27" s="36" t="str">
        <x:v>standard</x:v>
      </x:c>
      <x:c r="D27" s="36" t="str">
        <x:v>少阴</x:v>
      </x:c>
      <x:c r="E27" s="36" t="str">
        <x:v>黄连阿胶汤</x:v>
      </x:c>
      <x:c r="F27" s="36" t="str">
        <x:v>保留</x:v>
      </x:c>
      <x:c r="G27" s="36" t="str">
        <x:v>STD026</x:v>
      </x:c>
      <x:c r="H27" s="38" t="str">
        <x:v>条文与主症基本对应</x:v>
      </x:c>
      <x:c r="I27" s="38" t="str">
        <x:v>第303条心中烦不得卧，暂无重腹满燥结表现</x:v>
      </x:c>
    </x:row>
    <x:row r="28" ht="42" customHeight="1">
      <x:c r="A28" s="36" t="str">
        <x:v>SC027</x:v>
      </x:c>
      <x:c r="B28" s="36" t="str">
        <x:v>少阴</x:v>
      </x:c>
      <x:c r="C28" s="36" t="str">
        <x:v>standard</x:v>
      </x:c>
      <x:c r="D28" s="36" t="str">
        <x:v>少阴</x:v>
      </x:c>
      <x:c r="E28" s="36" t="str">
        <x:v>附子汤</x:v>
      </x:c>
      <x:c r="F28" s="36" t="str">
        <x:v>优化</x:v>
      </x:c>
      <x:c r="G28" s="36" t="str">
        <x:v>STD027</x:v>
      </x:c>
      <x:c r="H28" s="38" t="str">
        <x:v>需补足鉴别证据或方证标签</x:v>
      </x:c>
      <x:c r="I28" s="38" t="str">
        <x:v>结合第304/305条补足少阴寒化依据，区别普通太阳表证</x:v>
      </x:c>
    </x:row>
    <x:row r="29" ht="42" customHeight="1">
      <x:c r="A29" s="36" t="str">
        <x:v>SC028</x:v>
      </x:c>
      <x:c r="B29" s="36" t="str">
        <x:v>少阴</x:v>
      </x:c>
      <x:c r="C29" s="36" t="str">
        <x:v>standard</x:v>
      </x:c>
      <x:c r="D29" s="36" t="str">
        <x:v>少阴</x:v>
      </x:c>
      <x:c r="E29" s="36" t="str">
        <x:v>桃花汤</x:v>
      </x:c>
      <x:c r="F29" s="36" t="str">
        <x:v>优化</x:v>
      </x:c>
      <x:c r="G29" s="36" t="str">
        <x:v>STD028</x:v>
      </x:c>
      <x:c r="H29" s="38" t="str">
        <x:v>需补足鉴别证据或方证标签</x:v>
      </x:c>
      <x:c r="I29" s="38" t="str">
        <x:v>补足第306条少阴虚寒特征，减少与厥阴白头翁热利的混淆</x:v>
      </x:c>
    </x:row>
    <x:row r="30" ht="42" customHeight="1">
      <x:c r="A30" s="36" t="str">
        <x:v>SC029</x:v>
      </x:c>
      <x:c r="B30" s="36" t="str">
        <x:v>少阴</x:v>
      </x:c>
      <x:c r="C30" s="36" t="str">
        <x:v>standard</x:v>
      </x:c>
      <x:c r="D30" s="36" t="str">
        <x:v>少阴</x:v>
      </x:c>
      <x:c r="E30" s="36" t="str">
        <x:v>真武汤</x:v>
      </x:c>
      <x:c r="F30" s="36" t="str">
        <x:v>保留</x:v>
      </x:c>
      <x:c r="G30" s="36" t="str">
        <x:v>STD029</x:v>
      </x:c>
      <x:c r="H30" s="38" t="str">
        <x:v>条文与主症基本对应</x:v>
      </x:c>
      <x:c r="I30" s="38" t="str">
        <x:v>第316条少阴水气组合已有多条辨别维度</x:v>
      </x:c>
    </x:row>
    <x:row r="31" ht="42" customHeight="1">
      <x:c r="A31" s="36" t="str">
        <x:v>SC030</x:v>
      </x:c>
      <x:c r="B31" s="36" t="str">
        <x:v>少阴</x:v>
      </x:c>
      <x:c r="C31" s="36" t="str">
        <x:v>standard</x:v>
      </x:c>
      <x:c r="D31" s="36" t="str">
        <x:v>少阴</x:v>
      </x:c>
      <x:c r="E31" s="36" t="str">
        <x:v>四逆汤</x:v>
      </x:c>
      <x:c r="F31" s="36" t="str">
        <x:v>保留</x:v>
      </x:c>
      <x:c r="G31" s="36" t="str">
        <x:v>STD030</x:v>
      </x:c>
      <x:c r="H31" s="38" t="str">
        <x:v>条文与主症基本对应</x:v>
      </x:c>
      <x:c r="I31" s="38" t="str">
        <x:v>四逆汤寒化核心症状明确</x:v>
      </x:c>
    </x:row>
    <x:row r="32" ht="42" customHeight="1">
      <x:c r="A32" s="36" t="str">
        <x:v>SC031</x:v>
      </x:c>
      <x:c r="B32" s="36" t="str">
        <x:v>少阴</x:v>
      </x:c>
      <x:c r="C32" s="36" t="str">
        <x:v>standard</x:v>
      </x:c>
      <x:c r="D32" s="36" t="str">
        <x:v>少阴</x:v>
      </x:c>
      <x:c r="E32" s="36" t="str">
        <x:v>猪苓汤</x:v>
      </x:c>
      <x:c r="F32" s="36" t="str">
        <x:v>排除</x:v>
      </x:c>
      <x:c r="G32" s="36" t="str"/>
      <x:c r="H32" s="38" t="str">
        <x:v>类别配额与方证分布</x:v>
      </x:c>
      <x:c r="I32" s="38" t="str">
        <x:v>当前六经类别已取足6例，按覆盖平衡与区分度排除；不表示该案例必然医学错误。</x:v>
      </x:c>
    </x:row>
    <x:row r="33" ht="42" customHeight="1">
      <x:c r="A33" s="36" t="str">
        <x:v>SC032</x:v>
      </x:c>
      <x:c r="B33" s="36" t="str">
        <x:v>厥阴</x:v>
      </x:c>
      <x:c r="C33" s="36" t="str">
        <x:v>standard</x:v>
      </x:c>
      <x:c r="D33" s="36" t="str">
        <x:v>厥阴</x:v>
      </x:c>
      <x:c r="E33" s="36" t="str"/>
      <x:c r="F33" s="36" t="str">
        <x:v>排除</x:v>
      </x:c>
      <x:c r="G33" s="36" t="str"/>
      <x:c r="H33" s="38" t="str">
        <x:v>仅六经参考、缺少具体方证</x:v>
      </x:c>
      <x:c r="I33" s="38" t="str">
        <x:v>不足以直接填充方名或当前组内已完成另一例的有据改写，不强设唯一方证。</x:v>
      </x:c>
    </x:row>
    <x:row r="34" ht="42" customHeight="1">
      <x:c r="A34" s="36" t="str">
        <x:v>SC033</x:v>
      </x:c>
      <x:c r="B34" s="36" t="str">
        <x:v>厥阴</x:v>
      </x:c>
      <x:c r="C34" s="36" t="str">
        <x:v>standard</x:v>
      </x:c>
      <x:c r="D34" s="36" t="str">
        <x:v>厥阴</x:v>
      </x:c>
      <x:c r="E34" s="36" t="str">
        <x:v>乌梅丸</x:v>
      </x:c>
      <x:c r="F34" s="36" t="str">
        <x:v>优化</x:v>
      </x:c>
      <x:c r="G34" s="36" t="str">
        <x:v>STD031</x:v>
      </x:c>
      <x:c r="H34" s="38" t="str">
        <x:v>需补足鉴别证据或方证标签</x:v>
      </x:c>
      <x:c r="I34" s="38" t="str">
        <x:v>第338条蛔厥信息足够；较原稿“偶见蛔虫病史”更明确</x:v>
      </x:c>
    </x:row>
    <x:row r="35" ht="42" customHeight="1">
      <x:c r="A35" s="36" t="str">
        <x:v>SC034</x:v>
      </x:c>
      <x:c r="B35" s="36" t="str">
        <x:v>厥阴</x:v>
      </x:c>
      <x:c r="C35" s="36" t="str">
        <x:v>standard</x:v>
      </x:c>
      <x:c r="D35" s="36" t="str">
        <x:v>厥阴</x:v>
      </x:c>
      <x:c r="E35" s="36" t="str">
        <x:v>白头翁汤</x:v>
      </x:c>
      <x:c r="F35" s="36" t="str">
        <x:v>优化</x:v>
      </x:c>
      <x:c r="G35" s="36" t="str">
        <x:v>STD032</x:v>
      </x:c>
      <x:c r="H35" s="38" t="str">
        <x:v>需补足鉴别证据或方证标签</x:v>
      </x:c>
      <x:c r="I35" s="38" t="str">
        <x:v>第371/373条热利下重和渴饮完整，区别桃花汤虚寒下利</x:v>
      </x:c>
    </x:row>
    <x:row r="36" ht="42" customHeight="1">
      <x:c r="A36" s="36" t="str">
        <x:v>SC035</x:v>
      </x:c>
      <x:c r="B36" s="36" t="str">
        <x:v>厥阴</x:v>
      </x:c>
      <x:c r="C36" s="36" t="str">
        <x:v>standard</x:v>
      </x:c>
      <x:c r="D36" s="36" t="str">
        <x:v>厥阴</x:v>
      </x:c>
      <x:c r="E36" s="36" t="str">
        <x:v>当归四逆汤</x:v>
      </x:c>
      <x:c r="F36" s="36" t="str">
        <x:v>优化</x:v>
      </x:c>
      <x:c r="G36" s="36" t="str">
        <x:v>STD033</x:v>
      </x:c>
      <x:c r="H36" s="38" t="str">
        <x:v>需补足鉴别证据或方证标签</x:v>
      </x:c>
      <x:c r="I36" s="38" t="str">
        <x:v>第351条核心特征明确，避免误归四逆汤亡阳危重证</x:v>
      </x:c>
    </x:row>
    <x:row r="37" ht="42" customHeight="1">
      <x:c r="A37" s="36" t="str">
        <x:v>SC036</x:v>
      </x:c>
      <x:c r="B37" s="36" t="str">
        <x:v>厥阴</x:v>
      </x:c>
      <x:c r="C37" s="36" t="str">
        <x:v>hard</x:v>
      </x:c>
      <x:c r="D37" s="36" t="str"/>
      <x:c r="E37" s="36" t="str">
        <x:v>白虎汤</x:v>
      </x:c>
      <x:c r="F37" s="36" t="str">
        <x:v>排除</x:v>
      </x:c>
      <x:c r="G37" s="36" t="str"/>
      <x:c r="H37" s="38" t="str">
        <x:v>难度非standard</x:v>
      </x:c>
      <x:c r="I37" s="38" t="str">
        <x:v>本版只采用标准难度，保留原始hard样本供后续专项评测，不代表原例医学错误。</x:v>
      </x:c>
    </x:row>
    <x:row r="38" ht="42" customHeight="1">
      <x:c r="A38" s="36" t="str">
        <x:v>SC037</x:v>
      </x:c>
      <x:c r="B38" s="36" t="str">
        <x:v>少阴</x:v>
      </x:c>
      <x:c r="C38" s="36" t="str">
        <x:v>hard</x:v>
      </x:c>
      <x:c r="D38" s="36" t="str">
        <x:v>少阴</x:v>
      </x:c>
      <x:c r="E38" s="36" t="str">
        <x:v>吴茱萸汤</x:v>
      </x:c>
      <x:c r="F38" s="36" t="str">
        <x:v>排除</x:v>
      </x:c>
      <x:c r="G38" s="36" t="str"/>
      <x:c r="H38" s="38" t="str">
        <x:v>难度非standard</x:v>
      </x:c>
      <x:c r="I38" s="38" t="str">
        <x:v>本版只采用标准难度，保留原始hard样本供后续专项评测，不代表原例医学错误。</x:v>
      </x:c>
    </x:row>
    <x:row r="39" ht="42" customHeight="1">
      <x:c r="A39" s="36" t="str">
        <x:v>SC038</x:v>
      </x:c>
      <x:c r="B39" s="36" t="str">
        <x:v>合病</x:v>
      </x:c>
      <x:c r="C39" s="36" t="str">
        <x:v>hard</x:v>
      </x:c>
      <x:c r="D39" s="36" t="str">
        <x:v>太阳,阳明</x:v>
      </x:c>
      <x:c r="E39" s="36" t="str">
        <x:v>葛根汤</x:v>
      </x:c>
      <x:c r="F39" s="36" t="str">
        <x:v>排除</x:v>
      </x:c>
      <x:c r="G39" s="36" t="str"/>
      <x:c r="H39" s="38" t="str">
        <x:v>难度非standard</x:v>
      </x:c>
      <x:c r="I39" s="38" t="str">
        <x:v>本版只采用标准难度，保留原始hard样本供后续专项评测，不代表原例医学错误。</x:v>
      </x:c>
    </x:row>
    <x:row r="40" ht="42" customHeight="1">
      <x:c r="A40" s="36" t="str">
        <x:v>SC039</x:v>
      </x:c>
      <x:c r="B40" s="36" t="str">
        <x:v>合病</x:v>
      </x:c>
      <x:c r="C40" s="36" t="str">
        <x:v>hard</x:v>
      </x:c>
      <x:c r="D40" s="36" t="str">
        <x:v>太阳,少阳</x:v>
      </x:c>
      <x:c r="E40" s="36" t="str">
        <x:v>黄芩汤</x:v>
      </x:c>
      <x:c r="F40" s="36" t="str">
        <x:v>排除</x:v>
      </x:c>
      <x:c r="G40" s="36" t="str"/>
      <x:c r="H40" s="38" t="str">
        <x:v>难度非standard</x:v>
      </x:c>
      <x:c r="I40" s="38" t="str">
        <x:v>本版只采用标准难度，保留原始hard样本供后续专项评测，不代表原例医学错误。</x:v>
      </x:c>
    </x:row>
    <x:row r="41" ht="42" customHeight="1">
      <x:c r="A41" s="36" t="str">
        <x:v>SC040</x:v>
      </x:c>
      <x:c r="B41" s="36" t="str">
        <x:v>难鉴别</x:v>
      </x:c>
      <x:c r="C41" s="36" t="str">
        <x:v>hard</x:v>
      </x:c>
      <x:c r="D41" s="36" t="str">
        <x:v>太阳</x:v>
      </x:c>
      <x:c r="E41" s="36" t="str"/>
      <x:c r="F41" s="36" t="str">
        <x:v>排除</x:v>
      </x:c>
      <x:c r="G41" s="36" t="str"/>
      <x:c r="H41" s="38" t="str">
        <x:v>难度非standard</x:v>
      </x:c>
      <x:c r="I41" s="38" t="str">
        <x:v>本版只采用标准难度，保留原始hard样本供后续专项评测，不代表原例医学错误。</x:v>
      </x:c>
    </x:row>
    <x:row r="42" ht="42" customHeight="1">
      <x:c r="A42" s="36" t="str">
        <x:v>SC041</x:v>
      </x:c>
      <x:c r="B42" s="36" t="str">
        <x:v>难鉴别</x:v>
      </x:c>
      <x:c r="C42" s="36" t="str">
        <x:v>hard</x:v>
      </x:c>
      <x:c r="D42" s="36" t="str">
        <x:v>阳明</x:v>
      </x:c>
      <x:c r="E42" s="36" t="str"/>
      <x:c r="F42" s="36" t="str">
        <x:v>排除</x:v>
      </x:c>
      <x:c r="G42" s="36" t="str"/>
      <x:c r="H42" s="38" t="str">
        <x:v>难度非standard</x:v>
      </x:c>
      <x:c r="I42" s="38" t="str">
        <x:v>本版只采用标准难度，保留原始hard样本供后续专项评测，不代表原例医学错误。</x:v>
      </x:c>
    </x:row>
    <x:row r="43" ht="42" customHeight="1">
      <x:c r="A43" s="36" t="str">
        <x:v>SC042</x:v>
      </x:c>
      <x:c r="B43" s="36" t="str">
        <x:v>难鉴别</x:v>
      </x:c>
      <x:c r="C43" s="36" t="str">
        <x:v>hard</x:v>
      </x:c>
      <x:c r="D43" s="36" t="str"/>
      <x:c r="E43" s="36" t="str"/>
      <x:c r="F43" s="36" t="str">
        <x:v>排除</x:v>
      </x:c>
      <x:c r="G43" s="36" t="str"/>
      <x:c r="H43" s="38" t="str">
        <x:v>难度非standard</x:v>
      </x:c>
      <x:c r="I43" s="38" t="str">
        <x:v>本版只采用标准难度，保留原始hard样本供后续专项评测，不代表原例医学错误。</x:v>
      </x:c>
    </x:row>
    <x:row r="44" ht="42" customHeight="1">
      <x:c r="A44" s="36" t="str">
        <x:v>SC043</x:v>
      </x:c>
      <x:c r="B44" s="36" t="str">
        <x:v>难鉴别</x:v>
      </x:c>
      <x:c r="C44" s="36" t="str">
        <x:v>hard</x:v>
      </x:c>
      <x:c r="D44" s="36" t="str"/>
      <x:c r="E44" s="36" t="str"/>
      <x:c r="F44" s="36" t="str">
        <x:v>排除</x:v>
      </x:c>
      <x:c r="G44" s="36" t="str"/>
      <x:c r="H44" s="38" t="str">
        <x:v>难度非standard</x:v>
      </x:c>
      <x:c r="I44" s="38" t="str">
        <x:v>本版只采用标准难度，保留原始hard样本供后续专项评测，不代表原例医学错误。</x:v>
      </x:c>
    </x:row>
    <x:row r="45" ht="42" customHeight="1">
      <x:c r="A45" s="36" t="str">
        <x:v>SC044</x:v>
      </x:c>
      <x:c r="B45" s="36" t="str">
        <x:v>难鉴别</x:v>
      </x:c>
      <x:c r="C45" s="36" t="str">
        <x:v>hard</x:v>
      </x:c>
      <x:c r="D45" s="36" t="str"/>
      <x:c r="E45" s="36" t="str"/>
      <x:c r="F45" s="36" t="str">
        <x:v>排除</x:v>
      </x:c>
      <x:c r="G45" s="36" t="str"/>
      <x:c r="H45" s="38" t="str">
        <x:v>难度非standard</x:v>
      </x:c>
      <x:c r="I45" s="38" t="str">
        <x:v>本版只采用标准难度，保留原始hard样本供后续专项评测，不代表原例医学错误。</x:v>
      </x:c>
    </x:row>
    <x:row r="46" ht="42" customHeight="1">
      <x:c r="A46" s="36" t="str">
        <x:v>SC045</x:v>
      </x:c>
      <x:c r="B46" s="36" t="str">
        <x:v>三值与冲突</x:v>
      </x:c>
      <x:c r="C46" s="36" t="str">
        <x:v>hard</x:v>
      </x:c>
      <x:c r="D46" s="36" t="str"/>
      <x:c r="E46" s="36" t="str"/>
      <x:c r="F46" s="36" t="str">
        <x:v>排除</x:v>
      </x:c>
      <x:c r="G46" s="36" t="str"/>
      <x:c r="H46" s="38" t="str">
        <x:v>难度非standard</x:v>
      </x:c>
      <x:c r="I46" s="38" t="str">
        <x:v>本版只采用标准难度，保留原始hard样本供后续专项评测，不代表原例医学错误。</x:v>
      </x:c>
    </x:row>
    <x:row r="47" ht="42" customHeight="1">
      <x:c r="A47" s="36" t="str">
        <x:v>SC046</x:v>
      </x:c>
      <x:c r="B47" s="36" t="str">
        <x:v>时间证据</x:v>
      </x:c>
      <x:c r="C47" s="36" t="str">
        <x:v>hard</x:v>
      </x:c>
      <x:c r="D47" s="36" t="str">
        <x:v>少阳</x:v>
      </x:c>
      <x:c r="E47" s="36" t="str"/>
      <x:c r="F47" s="36" t="str">
        <x:v>排除</x:v>
      </x:c>
      <x:c r="G47" s="36" t="str"/>
      <x:c r="H47" s="38" t="str">
        <x:v>难度非standard</x:v>
      </x:c>
      <x:c r="I47" s="38" t="str">
        <x:v>本版只采用标准难度，保留原始hard样本供后续专项评测，不代表原例医学错误。</x:v>
      </x:c>
    </x:row>
    <x:row r="48" ht="42" customHeight="1">
      <x:c r="A48" s="36" t="str">
        <x:v>SC047</x:v>
      </x:c>
      <x:c r="B48" s="36" t="str">
        <x:v>三值与冲突</x:v>
      </x:c>
      <x:c r="C48" s="36" t="str">
        <x:v>hard</x:v>
      </x:c>
      <x:c r="D48" s="36" t="str"/>
      <x:c r="E48" s="36" t="str"/>
      <x:c r="F48" s="36" t="str">
        <x:v>排除</x:v>
      </x:c>
      <x:c r="G48" s="36" t="str"/>
      <x:c r="H48" s="38" t="str">
        <x:v>难度非standard</x:v>
      </x:c>
      <x:c r="I48" s="38" t="str">
        <x:v>本版只采用标准难度，保留原始hard样本供后续专项评测，不代表原例医学错误。</x:v>
      </x:c>
    </x:row>
    <x:row r="49" ht="42" customHeight="1">
      <x:c r="A49" s="36" t="str">
        <x:v>SC048</x:v>
      </x:c>
      <x:c r="B49" s="36" t="str">
        <x:v>医案启发</x:v>
      </x:c>
      <x:c r="C49" s="36" t="str">
        <x:v>hard</x:v>
      </x:c>
      <x:c r="D49" s="36" t="str">
        <x:v>太阳</x:v>
      </x:c>
      <x:c r="E49" s="36" t="str">
        <x:v>麻黄汤</x:v>
      </x:c>
      <x:c r="F49" s="36" t="str">
        <x:v>排除</x:v>
      </x:c>
      <x:c r="G49" s="36" t="str"/>
      <x:c r="H49" s="38" t="str">
        <x:v>难度非standard</x:v>
      </x:c>
      <x:c r="I49" s="38" t="str">
        <x:v>本版只采用标准难度，保留原始hard样本供后续专项评测，不代表原例医学错误。</x:v>
      </x:c>
    </x:row>
  </x:sheetData>
  <x:pageMargins left="0.7" right="0.7" top="0.75" bottom="0.75" header="0.3" footer="0.3"/>
  <x:tableParts count="1">
    <x:tablePart xmlns:r="http://schemas.openxmlformats.org/officeDocument/2006/relationships" r:id="Rca1a00929c9747a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28" hidden="0" customWidth="1"/>
    <x:col min="5" max="5" width="17" hidden="0" customWidth="1"/>
    <x:col min="6" max="6" width="73" hidden="0" customWidth="1"/>
    <x:col min="7" max="7" width="73" hidden="0" customWidth="1"/>
    <x:col min="8" max="8" width="68" hidden="0" customWidth="1"/>
  </x:cols>
  <x:sheetData>
    <x:row r="1" ht="32" customHeight="1">
      <x:c r="A1" s="15" t="str">
        <x:v>新编号</x:v>
      </x:c>
      <x:c r="B1" s="15" t="str">
        <x:v>原编号</x:v>
      </x:c>
      <x:c r="C1" s="15" t="str">
        <x:v>六经</x:v>
      </x:c>
      <x:c r="D1" s="15" t="str">
        <x:v>方证</x:v>
      </x:c>
      <x:c r="E1" s="15" t="str">
        <x:v>研发处理</x:v>
      </x:c>
      <x:c r="F1" s="15" t="str">
        <x:v>原始病历（摘自输入）</x:v>
      </x:c>
      <x:c r="G1" s="15" t="str">
        <x:v>新病历（评价用）</x:v>
      </x:c>
      <x:c r="H1" s="15" t="str">
        <x:v>为什么处理</x:v>
      </x:c>
    </x:row>
    <x:row r="2" ht="64" customHeight="1">
      <x:c r="A2" s="38" t="str">
        <x:v>STD001</x:v>
      </x:c>
      <x:c r="B2" s="38" t="str">
        <x:v>SC001</x:v>
      </x:c>
      <x:c r="C2" s="38" t="str">
        <x:v>太阳</x:v>
      </x:c>
      <x:c r="D2" s="38" t="str">
        <x:v>桂枝汤</x:v>
      </x:c>
      <x:c r="E2" s="38" t="str">
        <x:v>保留</x:v>
      </x:c>
      <x:c r="F2" s="38" t="str">
        <x:v>起病两天，发热恶风，微微汗出，头痛，脉浮而缓。</x:v>
      </x:c>
      <x:c r="G2" s="38" t="str">
        <x:v>起病两天，发热恶风，微微汗出，头痛，脉浮而缓。</x:v>
      </x:c>
      <x:c r="H2" s="38" t="str">
        <x:v>核心表现充分，来源第2/12/13条对应</x:v>
      </x:c>
    </x:row>
    <x:row r="3" ht="64" customHeight="1">
      <x:c r="A3" s="38" t="str">
        <x:v>STD002</x:v>
      </x:c>
      <x:c r="B3" s="38" t="str">
        <x:v>SC002</x:v>
      </x:c>
      <x:c r="C3" s="38" t="str">
        <x:v>太阳</x:v>
      </x:c>
      <x:c r="D3" s="38" t="str">
        <x:v>麻黄汤</x:v>
      </x:c>
      <x:c r="E3" s="38" t="str">
        <x:v>保留</x:v>
      </x:c>
      <x:c r="F3" s="38" t="str">
        <x:v>恶寒明显，发热头项痛，身上骨节酸痛，没有出汗，呼吸略喘，脉浮紧。</x:v>
      </x:c>
      <x:c r="G3" s="38" t="str">
        <x:v>恶寒明显，发热头项痛，身上骨节酸痛，没有出汗，呼吸略喘，脉浮紧。</x:v>
      </x:c>
      <x:c r="H3" s="38" t="str">
        <x:v>第35条表实脉证组合明确</x:v>
      </x:c>
    </x:row>
    <x:row r="4" ht="64" customHeight="1">
      <x:c r="A4" s="38" t="str">
        <x:v>STD003</x:v>
      </x:c>
      <x:c r="B4" s="38" t="str">
        <x:v>SC003</x:v>
      </x:c>
      <x:c r="C4" s="38" t="str">
        <x:v>太阳</x:v>
      </x:c>
      <x:c r="D4" s="38" t="str">
        <x:v>葛根汤</x:v>
      </x:c>
      <x:c r="E4" s="38" t="str">
        <x:v>保留</x:v>
      </x:c>
      <x:c r="F4" s="38" t="str">
        <x:v>脖子连着上背发紧僵硬，怕风，无汗，脉浮。</x:v>
      </x:c>
      <x:c r="G4" s="38" t="str">
        <x:v>脖子连着上背发紧僵硬，怕风，无汗，脉浮。</x:v>
      </x:c>
      <x:c r="H4" s="38" t="str">
        <x:v>第31条葛根汤脉证完整；发热非必填条件</x:v>
      </x:c>
    </x:row>
    <x:row r="5" ht="64" customHeight="1">
      <x:c r="A5" s="38" t="str">
        <x:v>STD004</x:v>
      </x:c>
      <x:c r="B5" s="38" t="str">
        <x:v>SC004</x:v>
      </x:c>
      <x:c r="C5" s="38" t="str">
        <x:v>太阳</x:v>
      </x:c>
      <x:c r="D5" s="38" t="str">
        <x:v>大青龙汤</x:v>
      </x:c>
      <x:c r="E5" s="38" t="str">
        <x:v>保留</x:v>
      </x:c>
      <x:c r="F5" s="38" t="str">
        <x:v>发热恶寒，全身疼，脉浮紧，汗始终出不来，烦躁不宁。</x:v>
      </x:c>
      <x:c r="G5" s="38" t="str">
        <x:v>发热恶寒，全身疼，脉浮紧，汗始终出不来，烦躁不宁。</x:v>
      </x:c>
      <x:c r="H5" s="38" t="str">
        <x:v>第38条不汗出而烦躁表现明确</x:v>
      </x:c>
    </x:row>
    <x:row r="6" ht="64" customHeight="1">
      <x:c r="A6" s="38" t="str">
        <x:v>STD005</x:v>
      </x:c>
      <x:c r="B6" s="38" t="str">
        <x:v>SC005</x:v>
      </x:c>
      <x:c r="C6" s="38" t="str">
        <x:v>太阳</x:v>
      </x:c>
      <x:c r="D6" s="38" t="str">
        <x:v>小青龙汤</x:v>
      </x:c>
      <x:c r="E6" s="38" t="str">
        <x:v>优化</x:v>
      </x:c>
      <x:c r="F6" s="38" t="str">
        <x:v>受凉后恶寒发热、咳嗽，干呕，胸口像有痰水停着，咳时喘，痰多稀薄。</x:v>
      </x:c>
      <x:c r="G6" s="38" t="str">
        <x:v>受凉后发热恶寒、无汗，咳嗽喘促，咯白色清稀痰较多，时有干呕，胸脘有水饮停聚感，脉浮紧。</x:v>
      </x:c>
      <x:c r="H6" s="38" t="str">
        <x:v>补足表寒无汗、浮紧脉和痰饮形态，使第40条方证更可鉴别</x:v>
      </x:c>
    </x:row>
    <x:row r="7" ht="64" customHeight="1">
      <x:c r="A7" s="38" t="str">
        <x:v>STD006</x:v>
      </x:c>
      <x:c r="B7" s="38" t="str">
        <x:v>SC006</x:v>
      </x:c>
      <x:c r="C7" s="38" t="str">
        <x:v>太阳</x:v>
      </x:c>
      <x:c r="D7" s="38" t="str">
        <x:v>五苓散</x:v>
      </x:c>
      <x:c r="E7" s="38" t="str">
        <x:v>保留</x:v>
      </x:c>
      <x:c r="F7" s="38" t="str">
        <x:v>发热烦渴，想喝水但喝进去又吐，小便量少，脉浮。</x:v>
      </x:c>
      <x:c r="G7" s="38" t="str">
        <x:v>发热烦渴，想喝水但喝进去又吐，小便量少，脉浮。</x:v>
      </x:c>
      <x:c r="H7" s="38" t="str">
        <x:v>第71/74条水饮不化核心组合明确</x:v>
      </x:c>
    </x:row>
    <x:row r="8" ht="64" customHeight="1">
      <x:c r="A8" s="38" t="str">
        <x:v>STD007</x:v>
      </x:c>
      <x:c r="B8" s="38" t="str">
        <x:v>SC010</x:v>
      </x:c>
      <x:c r="C8" s="38" t="str">
        <x:v>阳明</x:v>
      </x:c>
      <x:c r="D8" s="38" t="str">
        <x:v>大承气汤</x:v>
      </x:c>
      <x:c r="E8" s="38" t="str">
        <x:v>优化</x:v>
      </x:c>
      <x:c r="F8" s="38" t="str">
        <x:v>下午到傍晚明显潮热，几日未排便，腹胀满且压痛，便意不畅，手足也有汗。</x:v>
      </x:c>
      <x:c r="G8" s="38" t="str">
        <x:v>近几日大便不通，腹部胀满而硬痛，按之疼痛加重，午后潮热明显，手足多汗，烦躁口干，脉沉实。</x:v>
      </x:c>
      <x:c r="H8" s="38" t="str">
        <x:v>补足大承气汤腹实的程度，与小承气及调胃承气拉开差异</x:v>
      </x:c>
    </x:row>
    <x:row r="9" ht="64" customHeight="1">
      <x:c r="A9" s="38" t="str">
        <x:v>STD008</x:v>
      </x:c>
      <x:c r="B9" s="38" t="str">
        <x:v>SC011</x:v>
      </x:c>
      <x:c r="C9" s="38" t="str">
        <x:v>阳明</x:v>
      </x:c>
      <x:c r="D9" s="38" t="str">
        <x:v>小承气汤</x:v>
      </x:c>
      <x:c r="E9" s="38" t="str">
        <x:v>优化</x:v>
      </x:c>
      <x:c r="F9" s="38" t="str">
        <x:v>近日出汗多，口干，排便干硬，伴心烦偶有言语错乱，腹胀不算特别厉害。</x:v>
      </x:c>
      <x:c r="G9" s="38" t="str">
        <x:v>这几日大便干结不畅，午后略有潮热，腹胀但未见坚硬拒按，仍能排气，偶感心烦，脉滑而有力。</x:v>
      </x:c>
      <x:c r="H9" s="38" t="str">
        <x:v>删除容易指向重证的言语错乱，突出小承气汤与大承气汤的程度差异</x:v>
      </x:c>
    </x:row>
    <x:row r="10" ht="64" customHeight="1">
      <x:c r="A10" s="38" t="str">
        <x:v>STD009</x:v>
      </x:c>
      <x:c r="B10" s="38" t="str">
        <x:v>SC012</x:v>
      </x:c>
      <x:c r="C10" s="38" t="str">
        <x:v>阳明</x:v>
      </x:c>
      <x:c r="D10" s="38" t="str">
        <x:v>调胃承气汤</x:v>
      </x:c>
      <x:c r="E10" s="38" t="str">
        <x:v>优化</x:v>
      </x:c>
      <x:c r="F10" s="38" t="str">
        <x:v>之前发汗或吐下后，蒸蒸发热，烦躁口干，腹胀但疼痛不明显。</x:v>
      </x:c>
      <x:c r="G10" s="38" t="str">
        <x:v>前几日外感曾经发汗，现蒸蒸发热、心中烦躁、口干、大便干燥，腹部略胀但不明显硬满拒按，脉偏有力。</x:v>
      </x:c>
      <x:c r="H10" s="38" t="str">
        <x:v>写清治疗后症状现在仍在，减少 time_scope=after_treatment 的误丢风险</x:v>
      </x:c>
    </x:row>
    <x:row r="11" ht="64" customHeight="1">
      <x:c r="A11" s="38" t="str">
        <x:v>STD010</x:v>
      </x:c>
      <x:c r="B11" s="38" t="str">
        <x:v>SC013</x:v>
      </x:c>
      <x:c r="C11" s="38" t="str">
        <x:v>阳明</x:v>
      </x:c>
      <x:c r="D11" s="38" t="str">
        <x:v>麻子仁丸</x:v>
      </x:c>
      <x:c r="E11" s="38" t="str">
        <x:v>优化</x:v>
      </x:c>
      <x:c r="F11" s="38" t="str">
        <x:v>平日反复大便硬结，小便次数多、量尚可，腹痛不明显，长期觉得排便不畅。</x:v>
      </x:c>
      <x:c r="G11" s="38" t="str">
        <x:v>近来大便经常干硬难解，同时小便次数偏多，腹部不明显胀痛，食欲尚可，脉浮而略涩。</x:v>
      </x:c>
      <x:c r="H11" s="38" t="str">
        <x:v>补足第247条脾约特点，避免泛化为普通便秘</x:v>
      </x:c>
    </x:row>
    <x:row r="12" ht="64" customHeight="1">
      <x:c r="A12" s="38" t="str">
        <x:v>STD011</x:v>
      </x:c>
      <x:c r="B12" s="38" t="str">
        <x:v>SC014</x:v>
      </x:c>
      <x:c r="C12" s="38" t="str">
        <x:v>阳明</x:v>
      </x:c>
      <x:c r="D12" s="38" t="str">
        <x:v>茵陈蒿汤</x:v>
      </x:c>
      <x:c r="E12" s="38" t="str">
        <x:v>保留</x:v>
      </x:c>
      <x:c r="F12" s="38" t="str">
        <x:v>身目发黄，小便少且颜色深，口渴喜欢饮水，胸腹闷胀，发热。</x:v>
      </x:c>
      <x:c r="G12" s="38" t="str">
        <x:v>身目发黄，小便少且颜色深，口渴喜欢饮水，胸腹闷胀，发热。</x:v>
      </x:c>
      <x:c r="H12" s="38" t="str">
        <x:v>第236条黄疸伴小便不利及渴欲饮水，未混入寒湿反证</x:v>
      </x:c>
    </x:row>
    <x:row r="13" ht="64" customHeight="1">
      <x:c r="A13" s="38" t="str">
        <x:v>STD012</x:v>
      </x:c>
      <x:c r="B13" s="38" t="str">
        <x:v>SC015</x:v>
      </x:c>
      <x:c r="C13" s="38" t="str">
        <x:v>阳明</x:v>
      </x:c>
      <x:c r="D13" s="38" t="str">
        <x:v>猪苓汤</x:v>
      </x:c>
      <x:c r="E13" s="38" t="str">
        <x:v>优化</x:v>
      </x:c>
      <x:c r="F13" s="38" t="str">
        <x:v>发热，口渴不断想喝水，小便不畅，心烦，没有明显腹部硬满。</x:v>
      </x:c>
      <x:c r="G13" s="38" t="str">
        <x:v>这两日发热、口渴想喝水，饮水后不呕，小便量少且排尿不畅，心中烦，脉浮，未见腹部硬满及大便秘结。</x:v>
      </x:c>
      <x:c r="H13" s="38" t="str">
        <x:v>补齐第223条浮脉，增加与五苓散、大承气汤的鉴别信息</x:v>
      </x:c>
    </x:row>
    <x:row r="14" ht="64" customHeight="1">
      <x:c r="A14" s="38" t="str">
        <x:v>STD013</x:v>
      </x:c>
      <x:c r="B14" s="38" t="str">
        <x:v>SC016</x:v>
      </x:c>
      <x:c r="C14" s="38" t="str">
        <x:v>少阳</x:v>
      </x:c>
      <x:c r="D14" s="38" t="str">
        <x:v>小柴胡汤</x:v>
      </x:c>
      <x:c r="E14" s="38" t="str">
        <x:v>保留</x:v>
      </x:c>
      <x:c r="F14" s="38" t="str">
        <x:v>这几天冷热交替发作，胸胁发胀，口苦，不太想吃饭，心烦易恶心。</x:v>
      </x:c>
      <x:c r="G14" s="38" t="str">
        <x:v>这几天冷热交替发作，胸胁发胀，口苦，不太想吃饭，心烦易恶心。</x:v>
      </x:c>
      <x:c r="H14" s="38" t="str">
        <x:v>第96条柴胡证组合典型，不单凭口苦一症</x:v>
      </x:c>
    </x:row>
    <x:row r="15" ht="64" customHeight="1">
      <x:c r="A15" s="38" t="str">
        <x:v>STD014</x:v>
      </x:c>
      <x:c r="B15" s="38" t="str">
        <x:v>SC018</x:v>
      </x:c>
      <x:c r="C15" s="38" t="str">
        <x:v>少阳</x:v>
      </x:c>
      <x:c r="D15" s="38" t="str">
        <x:v>小柴胡汤</x:v>
      </x:c>
      <x:c r="E15" s="38" t="str">
        <x:v>优化</x:v>
      </x:c>
      <x:c r="F15" s="38" t="str">
        <x:v>最初怕冷发热伴头痛，几天后原先的头项痛减轻，新增胁下胀满、干呕、吃不下饭，寒热时作。</x:v>
      </x:c>
      <x:c r="G15" s="38" t="str">
        <x:v>外感数日后，近两天寒热交替发作，胸胁胀满、口苦、食欲下降，时感恶心干呕，脉弦。</x:v>
      </x:c>
      <x:c r="H15" s="38" t="str">
        <x:v>保留原例由表转少阳的常见表述，简化时序使之适合标准难度</x:v>
      </x:c>
    </x:row>
    <x:row r="16" ht="64" customHeight="1">
      <x:c r="A16" s="38" t="str">
        <x:v>STD015</x:v>
      </x:c>
      <x:c r="B16" s="38" t="str">
        <x:v>SC019</x:v>
      </x:c>
      <x:c r="C16" s="38" t="str">
        <x:v>少阳</x:v>
      </x:c>
      <x:c r="D16" s="38" t="str">
        <x:v>大柴胡汤</x:v>
      </x:c>
      <x:c r="E16" s="38" t="str">
        <x:v>优化</x:v>
      </x:c>
      <x:c r="F16" s="38" t="str">
        <x:v>此前反复往来寒热和胸胁满，曾多次泻下仍不舒；现在持续恶心呕吐、心下急迫胀痛，烦闷。</x:v>
      </x:c>
      <x:c r="G16" s="38" t="str">
        <x:v>反复往来寒热、胸胁苦满，曾因不适服用泻下药；目前呕吐持续不止，心下部急迫胀痛，烦闷，大便干结，脉弦有力。</x:v>
      </x:c>
      <x:c r="H16" s="38" t="str">
        <x:v>补足第103条决定性表现并排除仅见轻恶心的小柴胡情形</x:v>
      </x:c>
    </x:row>
    <x:row r="17" ht="64" customHeight="1">
      <x:c r="A17" s="38" t="str">
        <x:v>STD016</x:v>
      </x:c>
      <x:c r="B17" s="38" t="str">
        <x:v>—</x:v>
      </x:c>
      <x:c r="C17" s="38" t="str">
        <x:v>少阳</x:v>
      </x:c>
      <x:c r="D17" s="38" t="str">
        <x:v>柴胡加龙骨牡蛎汤</x:v>
      </x:c>
      <x:c r="E17" s="38" t="str">
        <x:v>新增</x:v>
      </x:c>
      <x:c r="F17" s="38" t="str"/>
      <x:c r="G17" s="38" t="str">
        <x:v>外感约八九日后曾服泻下药，随后胸中胀满、心烦易惊，小便不畅，有时言语错乱，全身沉重到翻身困难。</x:v>
      </x:c>
      <x:c r="H17" s="38" t="str">
        <x:v>与第107条柴胡加龙骨牡蛎汤相符；无须强行补脉象</x:v>
      </x:c>
    </x:row>
    <x:row r="18" ht="64" customHeight="1">
      <x:c r="A18" s="38" t="str">
        <x:v>STD017</x:v>
      </x:c>
      <x:c r="B18" s="38" t="str">
        <x:v>—</x:v>
      </x:c>
      <x:c r="C18" s="38" t="str">
        <x:v>少阳</x:v>
      </x:c>
      <x:c r="D18" s="38" t="str">
        <x:v>柴胡桂枝干姜汤</x:v>
      </x:c>
      <x:c r="E18" s="38" t="str">
        <x:v>新增</x:v>
      </x:c>
      <x:c r="F18" s="38" t="str"/>
      <x:c r="G18" s="38" t="str">
        <x:v>外感五六日，发汗后又用泻下药，现寒热往来、胸胁微满、口渴而不呕，小便不畅，仅头部有汗，伴心烦。</x:v>
      </x:c>
      <x:c r="H18" s="38" t="str">
        <x:v>参照第147条完整区别项及既往汗下史</x:v>
      </x:c>
    </x:row>
    <x:row r="19" ht="64" customHeight="1">
      <x:c r="A19" s="38" t="str">
        <x:v>STD018</x:v>
      </x:c>
      <x:c r="B19" s="38" t="str">
        <x:v>—</x:v>
      </x:c>
      <x:c r="C19" s="38" t="str">
        <x:v>少阳</x:v>
      </x:c>
      <x:c r="D19" s="38" t="str">
        <x:v>柴胡桂枝汤</x:v>
      </x:c>
      <x:c r="E19" s="38" t="str">
        <x:v>新增</x:v>
      </x:c>
      <x:c r="F19" s="38" t="str"/>
      <x:c r="G19" s="38" t="str">
        <x:v>外感第六日，发热而微怕冷，四肢关节酸痛，偶有恶心干呕，心下部撑结不舒，表证仍未完全缓解。</x:v>
      </x:c>
      <x:c r="H19" s="38" t="str">
        <x:v>第146条少阳兼太阳倾向，现以少阳为主标签，须专家重点审核是否需双经参考</x:v>
      </x:c>
    </x:row>
    <x:row r="20" ht="64" customHeight="1">
      <x:c r="A20" s="38" t="str">
        <x:v>STD019</x:v>
      </x:c>
      <x:c r="B20" s="38" t="str">
        <x:v>SC020</x:v>
      </x:c>
      <x:c r="C20" s="38" t="str">
        <x:v>太阴</x:v>
      </x:c>
      <x:c r="D20" s="38" t="str">
        <x:v>理中丸</x:v>
      </x:c>
      <x:c r="E20" s="38" t="str">
        <x:v>优化</x:v>
      </x:c>
      <x:c r="F20" s="38" t="str">
        <x:v>腹部胀满，吃东西就想吐，胃口差，腹泻越来越重，时不时肚子痛。</x:v>
      </x:c>
      <x:c r="G20" s="38" t="str">
        <x:v>突然出现呕吐和清稀腹泻，腹部发凉而隐痛，畏寒、不口渴也不想喝水，食欲差，四肢尚温，脉沉缓。</x:v>
      </x:c>
      <x:c r="H20" s="38" t="str">
        <x:v>原太阴提纲例缺方证；改为与第386条理中丸相符的中焦寒性吐利，同时保留太阴证候依据</x:v>
      </x:c>
    </x:row>
    <x:row r="21" ht="64" customHeight="1">
      <x:c r="A21" s="38" t="str">
        <x:v>STD020</x:v>
      </x:c>
      <x:c r="B21" s="38" t="str">
        <x:v>SC021</x:v>
      </x:c>
      <x:c r="C21" s="38" t="str">
        <x:v>太阴</x:v>
      </x:c>
      <x:c r="D21" s="38" t="str">
        <x:v>理中丸</x:v>
      </x:c>
      <x:c r="E21" s="38" t="str">
        <x:v>优化</x:v>
      </x:c>
      <x:c r="F21" s="38" t="str">
        <x:v>每天腹泻稀薄，不觉得口渴，腹部喜欢热敷，吃得少，脉沉缓。</x:v>
      </x:c>
      <x:c r="G21" s="38" t="str">
        <x:v>近一日受寒后反复呕吐、清稀腹泻，腹部冷痛喜欢热敷，口不渴、不想饮水，神疲，脉沉缓但不微弱。</x:v>
      </x:c>
      <x:c r="H21" s="38" t="str">
        <x:v>原无方证；补入第386条理中丸寒多不用水的鉴别主轴，避免指向少阴亡阳</x:v>
      </x:c>
    </x:row>
    <x:row r="22" ht="64" customHeight="1">
      <x:c r="A22" s="38" t="str">
        <x:v>STD021</x:v>
      </x:c>
      <x:c r="B22" s="38" t="str">
        <x:v>SC022</x:v>
      </x:c>
      <x:c r="C22" s="38" t="str">
        <x:v>太阴</x:v>
      </x:c>
      <x:c r="D22" s="38" t="str">
        <x:v>桂枝加芍药汤</x:v>
      </x:c>
      <x:c r="E22" s="38" t="str">
        <x:v>优化</x:v>
      </x:c>
      <x:c r="F22" s="38" t="str">
        <x:v>前几天本来只是外感头痛怕风，服泻下药后出现腹部胀满，时痛时缓，仍有原来的表证。</x:v>
      </x:c>
      <x:c r="G22" s="38" t="str">
        <x:v>原先受凉后头痛怕风，曾误服泻下药，此后头痛怕风减轻，当前以腹部胀满、间歇性腹痛为主，痛时轻时重，按之不剧痛。</x:v>
      </x:c>
      <x:c r="H22" s="38" t="str">
        <x:v>去除持续明显表证以保持主要太阴定位，第279条方证明确</x:v>
      </x:c>
    </x:row>
    <x:row r="23" ht="64" customHeight="1">
      <x:c r="A23" s="38" t="str">
        <x:v>STD022</x:v>
      </x:c>
      <x:c r="B23" s="38" t="str">
        <x:v>SC023</x:v>
      </x:c>
      <x:c r="C23" s="38" t="str">
        <x:v>太阴</x:v>
      </x:c>
      <x:c r="D23" s="38" t="str">
        <x:v>桂枝加大黄汤</x:v>
      </x:c>
      <x:c r="E23" s="38" t="str">
        <x:v>优化</x:v>
      </x:c>
      <x:c r="F23" s="38" t="str">
        <x:v>外感期间被误用泻法后腹满且疼痛明显，痛起来很剧烈，压按更不舒服。</x:v>
      </x:c>
      <x:c r="G23" s="38" t="str">
        <x:v>外感期间误用泻下法后，逐渐出现腹部胀满、硬实而持续剧痛，按压时疼痛明显加重；现无明显恶寒头痛。</x:v>
      </x:c>
      <x:c r="H23" s="38" t="str">
        <x:v>突出第279条“腹满大实痛”，与桂枝加芍药汤鉴别</x:v>
      </x:c>
    </x:row>
    <x:row r="24" ht="64" customHeight="1">
      <x:c r="A24" s="38" t="str">
        <x:v>STD023</x:v>
      </x:c>
      <x:c r="B24" s="38" t="str">
        <x:v>—</x:v>
      </x:c>
      <x:c r="C24" s="38" t="str">
        <x:v>太阴</x:v>
      </x:c>
      <x:c r="D24" s="38" t="str">
        <x:v>桂枝加芍药汤</x:v>
      </x:c>
      <x:c r="E24" s="38" t="str">
        <x:v>新增</x:v>
      </x:c>
      <x:c r="F24" s="38" t="str"/>
      <x:c r="G24" s="38" t="str">
        <x:v>受凉发病后被误用泻下药，原先头项不适已经缓解，随后腹部胀满，腹痛阵发、时轻时重，不属持续剧烈的硬实痛，脉缓。</x:v>
      </x:c>
      <x:c r="H24" s="38" t="str">
        <x:v>第279条第一个方证的独立语言变形，不强造其他太阴方证</x:v>
      </x:c>
    </x:row>
    <x:row r="25" ht="64" customHeight="1">
      <x:c r="A25" s="38" t="str">
        <x:v>STD024</x:v>
      </x:c>
      <x:c r="B25" s="38" t="str">
        <x:v>—</x:v>
      </x:c>
      <x:c r="C25" s="38" t="str">
        <x:v>太阴</x:v>
      </x:c>
      <x:c r="D25" s="38" t="str">
        <x:v>桂枝加大黄汤</x:v>
      </x:c>
      <x:c r="E25" s="38" t="str">
        <x:v>新增</x:v>
      </x:c>
      <x:c r="F25" s="38" t="str"/>
      <x:c r="G25" s="38" t="str">
        <x:v>前几日外感后服用了泻下药，继而持续腹部满闷且痛势较重，按腹明显加剧，自觉腹中有结实感，大便排出不畅。</x:v>
      </x:c>
      <x:c r="H25" s="38" t="str">
        <x:v>第279条第二方证的独立语言变形，不与单纯时痛混淆</x:v>
      </x:c>
    </x:row>
    <x:row r="26" ht="64" customHeight="1">
      <x:c r="A26" s="38" t="str">
        <x:v>STD025</x:v>
      </x:c>
      <x:c r="B26" s="38" t="str">
        <x:v>SC025</x:v>
      </x:c>
      <x:c r="C26" s="38" t="str">
        <x:v>少阴</x:v>
      </x:c>
      <x:c r="D26" s="38" t="str">
        <x:v>麻黄细辛附子汤</x:v>
      </x:c>
      <x:c r="E26" s="38" t="str">
        <x:v>优化</x:v>
      </x:c>
      <x:c r="F26" s="38" t="str">
        <x:v>病刚开始就见发热，但脉沉，不像常见的浮脉表证，同时怕冷、精神疲乏。</x:v>
      </x:c>
      <x:c r="G26" s="38" t="str">
        <x:v>起病不久便发热、恶寒，却很疲乏想卧，切脉沉而不浮，头项强痛和脉浮紧并不突出。</x:v>
      </x:c>
      <x:c r="H26" s="38" t="str">
        <x:v>补充少阴体征，突出第301条太少两感与太阳表实鉴别</x:v>
      </x:c>
    </x:row>
    <x:row r="27" ht="64" customHeight="1">
      <x:c r="A27" s="38" t="str">
        <x:v>STD026</x:v>
      </x:c>
      <x:c r="B27" s="38" t="str">
        <x:v>SC026</x:v>
      </x:c>
      <x:c r="C27" s="38" t="str">
        <x:v>少阴</x:v>
      </x:c>
      <x:c r="D27" s="38" t="str">
        <x:v>黄连阿胶汤</x:v>
      </x:c>
      <x:c r="E27" s="38" t="str">
        <x:v>保留</x:v>
      </x:c>
      <x:c r="F27" s="38" t="str">
        <x:v>已病三天，心中烦躁，夜里辗转不能睡，伴口干，脉细，不见明显腹满便秘。</x:v>
      </x:c>
      <x:c r="G27" s="38" t="str">
        <x:v>已病三天，心中烦躁，夜里辗转不能睡，伴口干，脉细，不见明显腹满便秘。</x:v>
      </x:c>
      <x:c r="H27" s="38" t="str">
        <x:v>第303条心中烦不得卧，暂无重腹满燥结表现</x:v>
      </x:c>
    </x:row>
    <x:row r="28" ht="64" customHeight="1">
      <x:c r="A28" s="38" t="str">
        <x:v>STD027</x:v>
      </x:c>
      <x:c r="B28" s="38" t="str">
        <x:v>SC027</x:v>
      </x:c>
      <x:c r="C28" s="38" t="str">
        <x:v>少阴</x:v>
      </x:c>
      <x:c r="D28" s="38" t="str">
        <x:v>附子汤</x:v>
      </x:c>
      <x:c r="E28" s="38" t="str">
        <x:v>优化</x:v>
      </x:c>
      <x:c r="F28" s="38" t="str">
        <x:v>初病一两天，口中不渴，背部明显怕冷，身体困重而无力。</x:v>
      </x:c>
      <x:c r="G28" s="38" t="str">
        <x:v>发病一两天，口中不渴，背部明显怕冷，身体困重、骨节酸痛，手足偏凉，脉沉。</x:v>
      </x:c>
      <x:c r="H28" s="38" t="str">
        <x:v>结合第304/305条补足少阴寒化依据，区别普通太阳表证</x:v>
      </x:c>
    </x:row>
    <x:row r="29" ht="64" customHeight="1">
      <x:c r="A29" s="38" t="str">
        <x:v>STD028</x:v>
      </x:c>
      <x:c r="B29" s="38" t="str">
        <x:v>SC028</x:v>
      </x:c>
      <x:c r="C29" s="38" t="str">
        <x:v>少阴</x:v>
      </x:c>
      <x:c r="D29" s="38" t="str">
        <x:v>桃花汤</x:v>
      </x:c>
      <x:c r="E29" s="38" t="str">
        <x:v>优化</x:v>
      </x:c>
      <x:c r="F29" s="38" t="str">
        <x:v>多日下利，便中夹脓血，胃腹喜温，整个人虚弱，暂无明确里热口渴表现。</x:v>
      </x:c>
      <x:c r="G29" s="38" t="str">
        <x:v>下利已经多日，次数较多且难以控制，便中夹少量脓血，腹部冷痛而喜温，口不渴，神疲乏力，脉沉细。</x:v>
      </x:c>
      <x:c r="H29" s="38" t="str">
        <x:v>补足第306条少阴虚寒特征，减少与厥阴白头翁热利的混淆</x:v>
      </x:c>
    </x:row>
    <x:row r="30" ht="64" customHeight="1">
      <x:c r="A30" s="38" t="str">
        <x:v>STD029</x:v>
      </x:c>
      <x:c r="B30" s="38" t="str">
        <x:v>SC029</x:v>
      </x:c>
      <x:c r="C30" s="38" t="str">
        <x:v>少阴</x:v>
      </x:c>
      <x:c r="D30" s="38" t="str">
        <x:v>真武汤</x:v>
      </x:c>
      <x:c r="E30" s="38" t="str">
        <x:v>保留</x:v>
      </x:c>
      <x:c r="F30" s="38" t="str">
        <x:v>腹痛、肠鸣腹泻，尿少，手足沉重疼痛，身体发沉，略有头眩。</x:v>
      </x:c>
      <x:c r="G30" s="38" t="str">
        <x:v>腹痛、肠鸣腹泻，尿少，手足沉重疼痛，身体发沉，略有头眩。</x:v>
      </x:c>
      <x:c r="H30" s="38" t="str">
        <x:v>第316条少阴水气组合已有多条辨别维度</x:v>
      </x:c>
    </x:row>
    <x:row r="31" ht="64" customHeight="1">
      <x:c r="A31" s="38" t="str">
        <x:v>STD030</x:v>
      </x:c>
      <x:c r="B31" s="38" t="str">
        <x:v>SC030</x:v>
      </x:c>
      <x:c r="C31" s="38" t="str">
        <x:v>少阴</x:v>
      </x:c>
      <x:c r="D31" s="38" t="str">
        <x:v>四逆汤</x:v>
      </x:c>
      <x:c r="E31" s="38" t="str">
        <x:v>保留</x:v>
      </x:c>
      <x:c r="F31" s="38" t="str">
        <x:v>畏寒蜷卧，四肢发凉，下利清稀，脉沉微，人极疲乏。</x:v>
      </x:c>
      <x:c r="G31" s="38" t="str">
        <x:v>畏寒蜷卧，四肢发凉，下利清稀，脉沉微，人极疲乏。</x:v>
      </x:c>
      <x:c r="H31" s="38" t="str">
        <x:v>四逆汤寒化核心症状明确</x:v>
      </x:c>
    </x:row>
    <x:row r="32" ht="64" customHeight="1">
      <x:c r="A32" s="38" t="str">
        <x:v>STD031</x:v>
      </x:c>
      <x:c r="B32" s="38" t="str">
        <x:v>SC033</x:v>
      </x:c>
      <x:c r="C32" s="38" t="str">
        <x:v>厥阴</x:v>
      </x:c>
      <x:c r="D32" s="38" t="str">
        <x:v>乌梅丸</x:v>
      </x:c>
      <x:c r="E32" s="38" t="str">
        <x:v>优化</x:v>
      </x:c>
      <x:c r="F32" s="38" t="str">
        <x:v>手足时冷时暖，上腹心中发热不舒，容易饥饿但吃后易呕，偶见蛔虫病史并有久利。</x:v>
      </x:c>
      <x:c r="G32" s="38" t="str">
        <x:v>近来手足时冷，时有烦躁但过一会儿能安静，曾有呕出蛔虫的情况，进食后又易恶心呕吐，同时久利不止。</x:v>
      </x:c>
      <x:c r="H32" s="38" t="str">
        <x:v>第338条蛔厥信息足够；较原稿“偶见蛔虫病史”更明确</x:v>
      </x:c>
    </x:row>
    <x:row r="33" ht="64" customHeight="1">
      <x:c r="A33" s="38" t="str">
        <x:v>STD032</x:v>
      </x:c>
      <x:c r="B33" s="38" t="str">
        <x:v>SC034</x:v>
      </x:c>
      <x:c r="C33" s="38" t="str">
        <x:v>厥阴</x:v>
      </x:c>
      <x:c r="D33" s="38" t="str">
        <x:v>白头翁汤</x:v>
      </x:c>
      <x:c r="E33" s="38" t="str">
        <x:v>优化</x:v>
      </x:c>
      <x:c r="F33" s="38" t="str">
        <x:v>腹泻急迫，肛门下坠感重，便后仍想解，便中黏滞，伴口渴与身热。</x:v>
      </x:c>
      <x:c r="G33" s="38" t="str">
        <x:v>腹泻急迫、肛门灼热而有明显下坠感，便后仍有便意，粪便夹黏液，伴口渴欲饮和身热。</x:v>
      </x:c>
      <x:c r="H33" s="38" t="str">
        <x:v>第371/373条热利下重和渴饮完整，区别桃花汤虚寒下利</x:v>
      </x:c>
    </x:row>
    <x:row r="34" ht="64" customHeight="1">
      <x:c r="A34" s="38" t="str">
        <x:v>STD033</x:v>
      </x:c>
      <x:c r="B34" s="38" t="str">
        <x:v>SC035</x:v>
      </x:c>
      <x:c r="C34" s="38" t="str">
        <x:v>厥阴</x:v>
      </x:c>
      <x:c r="D34" s="38" t="str">
        <x:v>当归四逆汤</x:v>
      </x:c>
      <x:c r="E34" s="38" t="str">
        <x:v>优化</x:v>
      </x:c>
      <x:c r="F34" s="38" t="str">
        <x:v>手脚持续冰冷，脉又细又弱几乎摸不清，手足疼凉，但没有下利清谷的描述。</x:v>
      </x:c>
      <x:c r="G34" s="38" t="str">
        <x:v>近来手脚一直冰冷且指端疼凉，脉细到几乎摸不到，面色偏淡，精神尚可，未见持续的下利清谷。</x:v>
      </x:c>
      <x:c r="H34" s="38" t="str">
        <x:v>第351条核心特征明确，避免误归四逆汤亡阳危重证</x:v>
      </x:c>
    </x:row>
    <x:row r="35" ht="64" customHeight="1">
      <x:c r="A35" s="38" t="str">
        <x:v>STD034</x:v>
      </x:c>
      <x:c r="B35" s="38" t="str">
        <x:v>—</x:v>
      </x:c>
      <x:c r="C35" s="38" t="str">
        <x:v>厥阴</x:v>
      </x:c>
      <x:c r="D35" s="38" t="str">
        <x:v>当归四逆加吴茱萸生姜汤</x:v>
      </x:c>
      <x:c r="E35" s="38" t="str">
        <x:v>新增</x:v>
      </x:c>
      <x:c r="F35" s="38" t="str"/>
      <x:c r="G35" s="38" t="str">
        <x:v>多年来腹中怕冷、遇寒容易隐痛，近日手足厥冷而疼痛，脉细微，胃腹旧寒症状明显，冷饮后更不舒适。</x:v>
      </x:c>
      <x:c r="H35" s="38" t="str">
        <x:v>第352条明确“内有久寒”方证，需连同第351条理解</x:v>
      </x:c>
    </x:row>
    <x:row r="36" ht="64" customHeight="1">
      <x:c r="A36" s="38" t="str">
        <x:v>STD035</x:v>
      </x:c>
      <x:c r="B36" s="38" t="str">
        <x:v>—</x:v>
      </x:c>
      <x:c r="C36" s="38" t="str">
        <x:v>厥阴</x:v>
      </x:c>
      <x:c r="D36" s="38" t="str">
        <x:v>干姜黄芩黄连人参汤</x:v>
      </x:c>
      <x:c r="E36" s="38" t="str">
        <x:v>新增</x:v>
      </x:c>
      <x:c r="F36" s="38" t="str"/>
      <x:c r="G36" s="38" t="str">
        <x:v>原本就常腹部怕冷而腹泻，外感后又被催吐和泻下，随后吐泻加重，现吃东西刚入口就吐出，腹中冷痛，心中烦热。</x:v>
      </x:c>
      <x:c r="H36" s="38" t="str">
        <x:v>第359条对应方证，语义同时保留既往寒下及当前格拒呕吐</x:v>
      </x:c>
    </x:row>
    <x:row r="37" ht="64" customHeight="1">
      <x:c r="A37" s="38" t="str">
        <x:v>STD036</x:v>
      </x:c>
      <x:c r="B37" s="38" t="str">
        <x:v>—</x:v>
      </x:c>
      <x:c r="C37" s="38" t="str">
        <x:v>厥阴</x:v>
      </x:c>
      <x:c r="D37" s="38" t="str">
        <x:v>吴茱萸汤</x:v>
      </x:c>
      <x:c r="E37" s="38" t="str">
        <x:v>新增</x:v>
      </x:c>
      <x:c r="F37" s="38" t="str"/>
      <x:c r="G37" s="38" t="str">
        <x:v>反复干呕，吐出不少清稀涎沫，头痛明显，同时胃脘怕冷、受凉后易加重，舌淡苔白，脉沉。</x:v>
      </x:c>
      <x:c r="H37" s="38" t="str">
        <x:v>第378条明确吴茱萸汤；注意本方跨三经，厥阴标签据第378条情境，待专家复核</x:v>
      </x:c>
    </x:row>
  </x:sheetData>
  <x:pageMargins left="0.7" right="0.7" top="0.75" bottom="0.75" header="0.3" footer="0.3"/>
  <x:tableParts count="1">
    <x:tablePart xmlns:r="http://schemas.openxmlformats.org/officeDocument/2006/relationships" r:id="R13acbf3a8d7347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79" hidden="0" customWidth="1"/>
    <x:col min="4" max="4" width="53" hidden="0" customWidth="1"/>
  </x:cols>
  <x:sheetData>
    <x:row r="1" ht="32" customHeight="1">
      <x:c r="A1" s="15" t="str">
        <x:v>案例A</x:v>
      </x:c>
      <x:c r="B1" s="15" t="str">
        <x:v>案例B</x:v>
      </x:c>
      <x:c r="C1" s="15" t="str">
        <x:v>关键分辨信息</x:v>
      </x:c>
      <x:c r="D1" s="15" t="str">
        <x:v>知识库规则（仅作为参考）</x:v>
      </x:c>
    </x:row>
    <x:row r="2" ht="44" customHeight="1">
      <x:c r="A2" s="38" t="str">
        <x:v>STD001</x:v>
      </x:c>
      <x:c r="B2" s="38" t="str">
        <x:v>STD002</x:v>
      </x:c>
      <x:c r="C2" s="38" t="str">
        <x:v>汗出、脉缓 vs 无汗、脉紧</x:v>
      </x:c>
      <x:c r="D2" s="38" t="str">
        <x:v>diff_v12_001</x:v>
      </x:c>
    </x:row>
    <x:row r="3" ht="44" customHeight="1">
      <x:c r="A3" s="38" t="str">
        <x:v>STD004</x:v>
      </x:c>
      <x:c r="B3" s="38" t="str">
        <x:v>STD005</x:v>
      </x:c>
      <x:c r="C3" s="38" t="str">
        <x:v>无汗烦躁 vs 咳喘、干呕和清稀痰饮</x:v>
      </x:c>
      <x:c r="D3" s="38" t="str">
        <x:v>diff_v12_053</x:v>
      </x:c>
    </x:row>
    <x:row r="4" ht="44" customHeight="1">
      <x:c r="A4" s="38" t="str">
        <x:v>STD006</x:v>
      </x:c>
      <x:c r="B4" s="38" t="str">
        <x:v>STD012</x:v>
      </x:c>
      <x:c r="C4" s="38" t="str">
        <x:v>水入即吐（五苓）vs 渴尿少但饮水不吐（猪苓）</x:v>
      </x:c>
      <x:c r="D4" s="38" t="str">
        <x:v>diff_v12_038, diff_v12_020</x:v>
      </x:c>
    </x:row>
    <x:row r="5" ht="44" customHeight="1">
      <x:c r="A5" s="38" t="str">
        <x:v>STD007</x:v>
      </x:c>
      <x:c r="B5" s="38" t="str">
        <x:v>STD008</x:v>
      </x:c>
      <x:c r="C5" s="38" t="str">
        <x:v>明显腹满硬痛拒按 vs 轻腹满仍排气</x:v>
      </x:c>
      <x:c r="D5" s="38" t="str">
        <x:v>diff_v12_004</x:v>
      </x:c>
    </x:row>
    <x:row r="6" ht="44" customHeight="1">
      <x:c r="A6" s="38" t="str">
        <x:v>STD008</x:v>
      </x:c>
      <x:c r="B6" s="38" t="str">
        <x:v>STD009</x:v>
      </x:c>
      <x:c r="C6" s="38" t="str">
        <x:v>轻腹满便硬 vs 蒸蒸发热、烦躁偏重</x:v>
      </x:c>
      <x:c r="D6" s="38" t="str">
        <x:v>diff_v12_004</x:v>
      </x:c>
    </x:row>
    <x:row r="7" ht="44" customHeight="1">
      <x:c r="A7" s="38" t="str">
        <x:v>STD013</x:v>
      </x:c>
      <x:c r="B7" s="38" t="str">
        <x:v>STD015</x:v>
      </x:c>
      <x:c r="C7" s="38" t="str">
        <x:v>小柴胡基础候选 vs 柴胡证兼呕不止心下急</x:v>
      </x:c>
      <x:c r="D7" s="38" t="str">
        <x:v>diff_v12_012</x:v>
      </x:c>
    </x:row>
    <x:row r="8" ht="44" customHeight="1">
      <x:c r="A8" s="38" t="str">
        <x:v>STD016</x:v>
      </x:c>
      <x:c r="B8" s="38" t="str">
        <x:v>STD017</x:v>
      </x:c>
      <x:c r="C8" s="38" t="str">
        <x:v>误下后胸满烦惊与谵语 vs 汗下后头汗、小便不利、渴而不呕</x:v>
      </x:c>
      <x:c r="D8" s="38" t="str">
        <x:v>diff_v12_027</x:v>
      </x:c>
    </x:row>
    <x:row r="9" ht="44" customHeight="1">
      <x:c r="A9" s="38" t="str">
        <x:v>STD021</x:v>
      </x:c>
      <x:c r="B9" s="38" t="str">
        <x:v>STD022</x:v>
      </x:c>
      <x:c r="C9" s="38" t="str">
        <x:v>误下后腹满时痛 vs 腹满大实痛</x:v>
      </x:c>
      <x:c r="D9" s="38" t="str">
        <x:v>diff_v12_032</x:v>
      </x:c>
    </x:row>
    <x:row r="10" ht="44" customHeight="1">
      <x:c r="A10" s="38" t="str">
        <x:v>STD028</x:v>
      </x:c>
      <x:c r="B10" s="38" t="str">
        <x:v>STD032</x:v>
      </x:c>
      <x:c r="C10" s="38" t="str">
        <x:v>少阴虚寒久利便脓血 vs 厥阴热利下重、口渴欲饮</x:v>
      </x:c>
      <x:c r="D10" s="38" t="str">
        <x:v>diff_v12_041</x:v>
      </x:c>
    </x:row>
    <x:row r="11" ht="44" customHeight="1">
      <x:c r="A11" s="38" t="str">
        <x:v>STD029</x:v>
      </x:c>
      <x:c r="B11" s="38" t="str">
        <x:v>STD006</x:v>
      </x:c>
      <x:c r="C11" s="38" t="str">
        <x:v>四肢沉重下利水气 vs 太阳蓄水口渴水逆</x:v>
      </x:c>
      <x:c r="D11" s="38" t="str">
        <x:v>diff_v12_038</x:v>
      </x:c>
    </x:row>
    <x:row r="12" ht="44" customHeight="1">
      <x:c r="A12" s="38" t="str">
        <x:v>STD033</x:v>
      </x:c>
      <x:c r="B12" s="38" t="str">
        <x:v>STD034</x:v>
      </x:c>
      <x:c r="C12" s="38" t="str">
        <x:v>单纯血虚寒厥 vs 血虚厥寒并内有久寒</x:v>
      </x:c>
      <x:c r="D12" s="38" t="str">
        <x:v>diff_v12_048</x:v>
      </x:c>
    </x:row>
  </x:sheetData>
  <x:pageMargins left="0.7" right="0.7" top="0.75" bottom="0.75" header="0.3" footer="0.3"/>
  <x:tableParts count="1">
    <x:tablePart xmlns:r="http://schemas.openxmlformats.org/officeDocument/2006/relationships" r:id="Rf864b9d62e5240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8" hidden="0" customWidth="1"/>
  </x:cols>
  <x:sheetData>
    <x:row r="1" ht="32" customHeight="1">
      <x:c r="A1" s="15" t="str">
        <x:v>审核项目</x:v>
      </x:c>
      <x:c r="B1" s="15" t="str">
        <x:v>说明</x:v>
      </x:c>
    </x:row>
    <x:row r="2" ht="45" customHeight="1">
      <x:c r="A2" s="38" t="str">
        <x:v>编号规则</x:v>
      </x:c>
      <x:c r="B2" s="38" t="str">
        <x:v>本次测试集重新编号为STD001–STD036，原SC编号通过“保留与优化对照”映射，不能用编号映射推断因果。</x:v>
      </x:c>
    </x:row>
    <x:row r="3" ht="45" customHeight="1">
      <x:c r="A3" s="38" t="str">
        <x:v>数量和难度</x:v>
      </x:c>
      <x:c r="B3" s="38" t="str">
        <x:v>六经各6例，共36例，全部standard。仅评价标准单路径，暂不包含hard、冲突、多重合病等专项案例。</x:v>
      </x:c>
    </x:row>
    <x:row r="4" ht="45" customHeight="1">
      <x:c r="A4" s="38" t="str">
        <x:v>参考完整度</x:v>
      </x:c>
      <x:c r="B4" s="38" t="str">
        <x:v>每例reference_channels和reference_formulas均各有一个明确研发银标，不把缺方证的宽泛提纲病例硬填某方。</x:v>
      </x:c>
    </x:row>
    <x:row r="5" ht="45" customHeight="1">
      <x:c r="A5" s="38" t="str">
        <x:v>来源一致性</x:v>
      </x:c>
      <x:c r="B5" s="38" t="str">
        <x:v>每例至少含一条source_level=L1的原文依据与一条L3的方证来源；Evidence ID均使用主库1.2格式。</x:v>
      </x:c>
    </x:row>
    <x:row r="6" ht="45" customHeight="1">
      <x:c r="A6" s="38" t="str">
        <x:v>禁止答案泄漏</x:v>
      </x:c>
      <x:c r="B6" s="38" t="str">
        <x:v>模拟患者病历text不包含拟定方名；输出参考标签与病历输入分字段保存。</x:v>
      </x:c>
    </x:row>
    <x:row r="7" ht="45" customHeight="1">
      <x:c r="A7" s="38" t="str">
        <x:v>病例真实性</x:v>
      </x:c>
      <x:c r="B7" s="38" t="str">
        <x:v>全部为合成/改写研发病例，不是真实患者，不可用于临床诊疗或自行使用处方。</x:v>
      </x:c>
    </x:row>
    <x:row r="8" ht="45" customHeight="1">
      <x:c r="A8" s="38" t="str">
        <x:v>银标限制</x:v>
      </x:c>
      <x:c r="B8" s="38" t="str">
        <x:v>仅研发预审，所有专家审核状态默认“待中医专家盲审”；专家终审未通过必须单独修订与版本化。</x:v>
      </x:c>
    </x:row>
    <x:row r="9" ht="45" customHeight="1">
      <x:c r="A9" s="38" t="str">
        <x:v>太阴警示</x:v>
      </x:c>
      <x:c r="B9" s="38" t="str">
        <x:v>理中丸依据第386条；该条未直接宣称太阴，应结合第273/277条作证候推定，专家可拒绝纳入严格单经测评。</x:v>
      </x:c>
    </x:row>
    <x:row r="10" ht="45" customHeight="1">
      <x:c r="A10" s="38" t="str">
        <x:v>少阳警示</x:v>
      </x:c>
      <x:c r="B10" s="38" t="str">
        <x:v>柴胡桂枝汤第146条存在少阳兼太阳因素；当前按少阳主导归档，如严格单经要求不允许应替换。</x:v>
      </x:c>
    </x:row>
    <x:row r="11" ht="45" customHeight="1">
      <x:c r="A11" s="38" t="str">
        <x:v>厥阴警示</x:v>
      </x:c>
      <x:c r="B11" s="38" t="str">
        <x:v>吴茱萸汤跨阳明/少阴/厥阴出现；本例参考第378条，专家应确认厥阴主标签可用于标准单经测试。</x:v>
      </x:c>
    </x:row>
    <x:row r="12" ht="45" customHeight="1">
      <x:c r="A12" s="38" t="str">
        <x:v>相关仓库</x:v>
      </x:c>
      <x:c r="B12" s="38" t="str">
        <x:v>https://github.com/grit11/six-channel-agent/tree/2c92be751fc7574b86812c97d0f34e69f000e2b5/knowledge/v1.2</x:v>
      </x:c>
    </x:row>
    <x:row r="13" ht="45" customHeight="1">
      <x:c r="A13" s="38" t="str">
        <x:v>经典公开对照</x:v>
      </x:c>
      <x:c r="B13" s="38" t="str">
        <x:v>https://ctext.org/shang-han-lun/zhs</x:v>
      </x:c>
    </x:row>
    <x:row r="14" ht="45" customHeight="1">
      <x:c r="A14" s="38" t="str">
        <x:v>专家工作方式</x:v>
      </x:c>
      <x:c r="B14" s="38" t="str">
        <x:v>建议遮蔽reference_channels/reference_formulas独立盲审，专家确认后再定版；不因模型此次答错反向修正标签。</x:v>
      </x:c>
    </x:row>
    <x:row r="15" ht="45" customHeight="1">
      <x:c r="A15" s="38" t="str">
        <x:v>研发成果</x:v>
      </x:c>
      <x:c r="B15" s="38" t="str">
        <x:v>本次修改了数据集和本地审核报告；不修改项目源码、知识库、Prompt、模型或业务数据库。</x:v>
      </x:c>
    </x:row>
  </x:sheetData>
  <x:pageMargins left="0.7" right="0.7" top="0.75" bottom="0.75" header="0.3" footer="0.3"/>
</x:worksheet>
</file>